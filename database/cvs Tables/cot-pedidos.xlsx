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 codeName="ThisWorkbook" hidePivotFieldList="1"/>
  <xr:revisionPtr revIDLastSave="0" documentId="13_ncr:9_{5177443D-7BC0-4E10-A422-91BC34DEE3B4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cotizaciones" sheetId="4" r:id="rId1"/>
    <sheet name="pedidos" sheetId="6" r:id="rId2"/>
  </sheets>
  <definedNames>
    <definedName name="_xlnm._FilterDatabase" localSheetId="0" hidden="1">cotizaciones!$A$1:$K$92</definedName>
    <definedName name="_xlnm._FilterDatabase" localSheetId="1" hidden="1">pedidos!$A$1:$L$30</definedName>
  </definedNames>
  <calcPr calcId="181029"/>
</workbook>
</file>

<file path=xl/calcChain.xml><?xml version="1.0" encoding="utf-8"?>
<calcChain xmlns="http://schemas.openxmlformats.org/spreadsheetml/2006/main">
  <c r="B3" i="4" l="1"/>
  <c r="B10" i="4"/>
  <c r="B85" i="4"/>
  <c r="B80" i="4"/>
  <c r="B76" i="4"/>
  <c r="B75" i="4"/>
  <c r="B70" i="4"/>
  <c r="B45" i="4"/>
  <c r="B11" i="4"/>
  <c r="B12" i="4"/>
  <c r="B91" i="4"/>
  <c r="B14" i="4"/>
  <c r="B15" i="4"/>
  <c r="B47" i="4"/>
  <c r="B40" i="4"/>
  <c r="B18" i="4"/>
  <c r="B87" i="4"/>
  <c r="B20" i="4"/>
  <c r="B21" i="4"/>
  <c r="B22" i="4"/>
  <c r="B65" i="4"/>
  <c r="B24" i="4"/>
  <c r="B25" i="4"/>
  <c r="B33" i="4"/>
  <c r="B23" i="4"/>
  <c r="B28" i="4"/>
  <c r="B29" i="4"/>
  <c r="B51" i="4"/>
  <c r="B62" i="4"/>
  <c r="B2" i="4"/>
  <c r="B60" i="4"/>
  <c r="B61" i="4"/>
  <c r="B5" i="4"/>
  <c r="B36" i="4"/>
  <c r="B37" i="4"/>
  <c r="B84" i="4"/>
  <c r="B90" i="4"/>
  <c r="B59" i="4"/>
  <c r="B55" i="4"/>
  <c r="B73" i="4"/>
  <c r="B43" i="4"/>
  <c r="B44" i="4"/>
  <c r="B66" i="4"/>
  <c r="B46" i="4"/>
  <c r="B27" i="4"/>
  <c r="B48" i="4"/>
  <c r="B49" i="4"/>
  <c r="B50" i="4"/>
  <c r="B7" i="4"/>
  <c r="B6" i="4"/>
  <c r="B53" i="4"/>
  <c r="B81" i="4"/>
  <c r="B58" i="4"/>
  <c r="B56" i="4"/>
  <c r="B57" i="4"/>
  <c r="B39" i="4"/>
  <c r="B38" i="4"/>
  <c r="B31" i="4"/>
  <c r="B26" i="4"/>
  <c r="B79" i="4"/>
  <c r="B63" i="4"/>
  <c r="B34" i="4"/>
  <c r="B32" i="4"/>
  <c r="B41" i="4"/>
  <c r="B30" i="4"/>
  <c r="B68" i="4"/>
  <c r="B83" i="4"/>
  <c r="B88" i="4"/>
  <c r="B4" i="4"/>
  <c r="B86" i="4"/>
  <c r="B52" i="4"/>
  <c r="B74" i="4"/>
  <c r="B72" i="4"/>
  <c r="B54" i="4"/>
  <c r="B77" i="4"/>
  <c r="B78" i="4"/>
  <c r="B92" i="4"/>
  <c r="B16" i="4"/>
  <c r="B8" i="4"/>
  <c r="B82" i="4"/>
  <c r="B89" i="4"/>
  <c r="B71" i="4"/>
  <c r="B67" i="4"/>
  <c r="B19" i="4"/>
  <c r="B17" i="4"/>
  <c r="B13" i="4"/>
  <c r="B9" i="4"/>
  <c r="B69" i="4"/>
  <c r="B64" i="4"/>
  <c r="B35" i="4"/>
  <c r="B42" i="4"/>
</calcChain>
</file>

<file path=xl/sharedStrings.xml><?xml version="1.0" encoding="utf-8"?>
<sst xmlns="http://schemas.openxmlformats.org/spreadsheetml/2006/main" count="322" uniqueCount="183">
  <si>
    <t>Venta Bruta</t>
  </si>
  <si>
    <t>CZ BOG 2600099</t>
  </si>
  <si>
    <t>CIA FERRETERA DE ANJEOS Y MALLAS LTDA</t>
  </si>
  <si>
    <t>CZ BOG 2600106</t>
  </si>
  <si>
    <t>CZ BOG 2600108</t>
  </si>
  <si>
    <t>GIL ARTUNDUAGA JEISSON ANDRES</t>
  </si>
  <si>
    <t>CZ BOG 2600109</t>
  </si>
  <si>
    <t>JUNTA DE ACCION COMUNAL URBANIZACION EL CERRITO</t>
  </si>
  <si>
    <t>CZ BOG 2600110</t>
  </si>
  <si>
    <t>CZ BOG 2600111</t>
  </si>
  <si>
    <t>TAPIERO SANTA SERGIO</t>
  </si>
  <si>
    <t>CZ BOG 2600121</t>
  </si>
  <si>
    <t>MARTHA MILENA AVILA FERREIRA</t>
  </si>
  <si>
    <t>CZ BOG 2600132</t>
  </si>
  <si>
    <t>DIGIFIX  LTDA</t>
  </si>
  <si>
    <t>CZ BOG 2600134</t>
  </si>
  <si>
    <t>LUIS FERNANDO DIAZ QUIROGA</t>
  </si>
  <si>
    <t>CZ BOG 2600135</t>
  </si>
  <si>
    <t>HANDEL Y CO  SAS</t>
  </si>
  <si>
    <t>CZ BOG 2600145</t>
  </si>
  <si>
    <t>GERFAJ S.A.S ARQUITECTURA E INGENIERIA</t>
  </si>
  <si>
    <t>CZ BOG 2600148</t>
  </si>
  <si>
    <t>MEGA PROYECTOS SM SAS</t>
  </si>
  <si>
    <t>CZ BOG 2600150</t>
  </si>
  <si>
    <t>CZ BOG 2600163</t>
  </si>
  <si>
    <t>TECNISOL - MONTAJES INDUSTRIALES SAS</t>
  </si>
  <si>
    <t>CZ BOG 2600169</t>
  </si>
  <si>
    <t>JORGE ELIECER CASCAVITA ROJAS</t>
  </si>
  <si>
    <t>CZ BOG 2600181</t>
  </si>
  <si>
    <t>CZ BOG 2600182</t>
  </si>
  <si>
    <t>CZ BOG 2600189</t>
  </si>
  <si>
    <t>CZ BOG 2600190</t>
  </si>
  <si>
    <t>CZ BOG 2600191</t>
  </si>
  <si>
    <t>LUIS ARIEL SANCHEZ MARTINEZ</t>
  </si>
  <si>
    <t>CZ BOG 2600193</t>
  </si>
  <si>
    <t>CZ BOG 2600195</t>
  </si>
  <si>
    <t>INDUSTRIA NACIONAL DE TROQUELADOS LIMITADA INDETRO</t>
  </si>
  <si>
    <t>CZ BOG 2600199</t>
  </si>
  <si>
    <t>CZ BOG 2600201</t>
  </si>
  <si>
    <t>MAXIMINO BIARDEAU</t>
  </si>
  <si>
    <t>CZ BOG 2600202</t>
  </si>
  <si>
    <t>CZ BOG 2600203</t>
  </si>
  <si>
    <t>CZ BOG 2600206</t>
  </si>
  <si>
    <t>RAUL PAOLO ABRIL DAZA</t>
  </si>
  <si>
    <t>CZ BOG 2600207</t>
  </si>
  <si>
    <t>JONATHAN ALONSO RAMIREZ LEON</t>
  </si>
  <si>
    <t>CZ BOG 2600208</t>
  </si>
  <si>
    <t>ELECTRICOS E INGENIERIAS RL S.A.S</t>
  </si>
  <si>
    <t>CZ BOG 2600209</t>
  </si>
  <si>
    <t>SPENCER ALEXANDER RAMIREZ LOPEZ</t>
  </si>
  <si>
    <t>CZ BOG 2600214</t>
  </si>
  <si>
    <t>CARBONES LA FORTUNA S A S</t>
  </si>
  <si>
    <t>CZ BOG 2600227</t>
  </si>
  <si>
    <t>CZ BOG 2600230</t>
  </si>
  <si>
    <t>CZ BOG 2600231</t>
  </si>
  <si>
    <t>SANCHEZ RUSSI CESAR</t>
  </si>
  <si>
    <t>CZ BOG 2600232</t>
  </si>
  <si>
    <t>CZ BOG 2600244</t>
  </si>
  <si>
    <t>CZ BOG 2600246</t>
  </si>
  <si>
    <t>ALVEN MARIA BELTRAN CRUZ</t>
  </si>
  <si>
    <t>CZ BOG 2600247</t>
  </si>
  <si>
    <t>CZ BOG 2600251</t>
  </si>
  <si>
    <t>CZ BOG 2600253</t>
  </si>
  <si>
    <t>RICARDO ALBERTO GUZMAN AGUILERA</t>
  </si>
  <si>
    <t>CZ BOG 2600254</t>
  </si>
  <si>
    <t>CZ BOG 2600255</t>
  </si>
  <si>
    <t>PRESTACION DE SERVICIOS FIBRAMOTRIZ S.A.S</t>
  </si>
  <si>
    <t>CZ BOG 2600256</t>
  </si>
  <si>
    <t>CZ BOG 2600262</t>
  </si>
  <si>
    <t>CZ BOG 2600264</t>
  </si>
  <si>
    <t>HD MOVIMIENTO SAS</t>
  </si>
  <si>
    <t>CZ BOG 2600265</t>
  </si>
  <si>
    <t>CZ BOG 2600271</t>
  </si>
  <si>
    <t>arquimep sas .</t>
  </si>
  <si>
    <t>CZ BOG 2600272</t>
  </si>
  <si>
    <t>TUBOS LAMINAS Y CUBIERTAS DEL ESPINAL S.A.S</t>
  </si>
  <si>
    <t>CZ BOG 2600274</t>
  </si>
  <si>
    <t>J-29730621-8</t>
  </si>
  <si>
    <t>TORNILLOS Y ACERO, C.A.</t>
  </si>
  <si>
    <t>CZ BOG 2600277</t>
  </si>
  <si>
    <t>GUILLERMO  GAMBA RUIZ</t>
  </si>
  <si>
    <t>CZ BOG 2600278</t>
  </si>
  <si>
    <t>CZ BOG 2600279</t>
  </si>
  <si>
    <t>CZ BOG 2600280</t>
  </si>
  <si>
    <t>CZ BOG 2600281</t>
  </si>
  <si>
    <t>CZ BOG 2600291</t>
  </si>
  <si>
    <t>CZ BOG 2600292</t>
  </si>
  <si>
    <t>CZ BOG 2600293</t>
  </si>
  <si>
    <t>HIRVIN LEONDEILAN ARDILA PEREZ</t>
  </si>
  <si>
    <t>PD BOG 26000038</t>
  </si>
  <si>
    <t>PD BOG 26000039</t>
  </si>
  <si>
    <t>PD BOG 26000044</t>
  </si>
  <si>
    <t>PD BOG 26000046</t>
  </si>
  <si>
    <t>PD BOG 26000050</t>
  </si>
  <si>
    <t>PD BOG 26000057</t>
  </si>
  <si>
    <t>PD BOG 26000059</t>
  </si>
  <si>
    <t>PD BOG 26000063</t>
  </si>
  <si>
    <t>PD BOG 26000066</t>
  </si>
  <si>
    <t>PD BOG 26000069</t>
  </si>
  <si>
    <t>PD BOG 26000070</t>
  </si>
  <si>
    <t>PD BOG 26000072</t>
  </si>
  <si>
    <t>PD BOG 26000074</t>
  </si>
  <si>
    <t>PD BOG 26000078</t>
  </si>
  <si>
    <t>PD BOG 26000079</t>
  </si>
  <si>
    <t>PD BOG 26000080</t>
  </si>
  <si>
    <t>PD BOG 26000082</t>
  </si>
  <si>
    <t>CZ BOG 2600005</t>
  </si>
  <si>
    <t>SERVICE AND SUPPLY DRJ S.A.S</t>
  </si>
  <si>
    <t>CZ BOG 2600006</t>
  </si>
  <si>
    <t>CZ BOG 2600011</t>
  </si>
  <si>
    <t>OGGUN INGENIERIA COLOMBIA S.A.S.</t>
  </si>
  <si>
    <t>CZ BOG 2600012</t>
  </si>
  <si>
    <t>CZ BOG 2600013</t>
  </si>
  <si>
    <t>FERRESOLUCIONES INDUSTRIALES SAS</t>
  </si>
  <si>
    <t>CZ BOG 2600014</t>
  </si>
  <si>
    <t>CZ BOG 2600015</t>
  </si>
  <si>
    <t>IVAN ALEXANDER LOZANO ORDOÑEZ</t>
  </si>
  <si>
    <t>CZ BOG 2600017</t>
  </si>
  <si>
    <t>CZ BOG 2600018</t>
  </si>
  <si>
    <t>CZ BOG 2600019</t>
  </si>
  <si>
    <t>DIEGO ANDRES PLAZAS FLORES</t>
  </si>
  <si>
    <t>CZ BOG 2600020</t>
  </si>
  <si>
    <t>ADRIAN EDUARDO ESCOBEDO FERNANDEZ</t>
  </si>
  <si>
    <t>CZ BOG 2600023</t>
  </si>
  <si>
    <t>CL SCHEPOR SAS</t>
  </si>
  <si>
    <t>CZ BOG 2600025</t>
  </si>
  <si>
    <t>EDGAR JACINTO PEREZ MESA</t>
  </si>
  <si>
    <t>CZ BOG 2600026</t>
  </si>
  <si>
    <t>JA INGENIERIA &amp; SOLUCIONES INDUSTRIALES S.A.S</t>
  </si>
  <si>
    <t>CZ BOG 2600027</t>
  </si>
  <si>
    <t>CORTAMOS Y DOBLAMOS S.A.</t>
  </si>
  <si>
    <t>CZ BOG 2600029</t>
  </si>
  <si>
    <t>MDST S.A.S</t>
  </si>
  <si>
    <t>CZ BOG 2600030</t>
  </si>
  <si>
    <t>PROYECTOS E INGENIERIA DE LA SABANA PROINSA SAS</t>
  </si>
  <si>
    <t>CZ BOG 2600032</t>
  </si>
  <si>
    <t>CZ BOG 2600033</t>
  </si>
  <si>
    <t>SERVINDUSTRIAL LOZANO &amp; CIA SAS</t>
  </si>
  <si>
    <t>CZ BOG 2600052</t>
  </si>
  <si>
    <t>CZ BOG 2600058</t>
  </si>
  <si>
    <t>CZ BOG 2600059</t>
  </si>
  <si>
    <t>INGENIERIA APLICADA A LA FORJA LIMITADA</t>
  </si>
  <si>
    <t>CZ BOG 2600060</t>
  </si>
  <si>
    <t>ALIC CONSTRUCCION SAS</t>
  </si>
  <si>
    <t>CZ BOG 2600064</t>
  </si>
  <si>
    <t>CZ BOG 2600065</t>
  </si>
  <si>
    <t>GRUPO PAOLO SPORT SAS</t>
  </si>
  <si>
    <t>CZ BOG 2600066</t>
  </si>
  <si>
    <t>CZ BOG 2600069</t>
  </si>
  <si>
    <t>CZ BOG 2600073</t>
  </si>
  <si>
    <t>CZ BOG 2600074</t>
  </si>
  <si>
    <t>CZ BOG 2600082</t>
  </si>
  <si>
    <t>ABEL QUINTERO TOPOGRAFIA E INGENIERIA</t>
  </si>
  <si>
    <t>CZ BOG 2600087</t>
  </si>
  <si>
    <t>CZ BOG 2600093</t>
  </si>
  <si>
    <t>CZ BOG 2600095</t>
  </si>
  <si>
    <t>CZ BOG 2600096</t>
  </si>
  <si>
    <t>PD BOG 26000004</t>
  </si>
  <si>
    <t>PD BOG 26000007</t>
  </si>
  <si>
    <t>PD BOG 26000009</t>
  </si>
  <si>
    <t>PD BOG 26000012</t>
  </si>
  <si>
    <t>PD BOG 26000013</t>
  </si>
  <si>
    <t>PD BOG 26000016</t>
  </si>
  <si>
    <t>PD BOG 26000019</t>
  </si>
  <si>
    <t>PD BOG 26000021</t>
  </si>
  <si>
    <t>PD BOG 26000024</t>
  </si>
  <si>
    <t>PD BOG 26000025</t>
  </si>
  <si>
    <t>PD BOG 26000028</t>
  </si>
  <si>
    <t>PD BOG 26000032</t>
  </si>
  <si>
    <t>doc</t>
  </si>
  <si>
    <t>fecha</t>
  </si>
  <si>
    <t>cliente</t>
  </si>
  <si>
    <t>dcto</t>
  </si>
  <si>
    <t>vta_bruta</t>
  </si>
  <si>
    <t>venta_neta</t>
  </si>
  <si>
    <t>iva</t>
  </si>
  <si>
    <t>otros_imp</t>
  </si>
  <si>
    <t>total</t>
  </si>
  <si>
    <t>id_cliente</t>
  </si>
  <si>
    <t>JUAN VICENTE PAEZ OSPINA</t>
  </si>
  <si>
    <t>asesor</t>
  </si>
  <si>
    <t>pedido</t>
  </si>
  <si>
    <t>cot_no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</si>
</sst>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7" formatCode="yyyy\-mm\-dd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Fill="1" applyBorder="1" applyAlignment="1">
      <alignment horizontal="left" vertical="center"/>
    </xf>
    <xf numFmtId="167" fontId="3" fillId="0" borderId="0" xfId="0" applyNumberFormat="1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1" fontId="3" fillId="0" borderId="0" xfId="0" applyNumberFormat="1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67" fontId="3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/>
    </xf>
    <xf numFmtId="44" fontId="3" fillId="0" borderId="0" xfId="1" applyFont="1" applyFill="1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78BC-38EC-4447-8E6D-D757A5C2FC63}">
  <sheetPr codeName="Hoja1" filterMode="1"/>
  <dimension ref="A1:K92"/>
  <sheetViews>
    <sheetView workbookViewId="0">
      <selection activeCell="A2" sqref="A2:A88"/>
    </sheetView>
  </sheetViews>
  <sheetFormatPr baseColWidth="10" defaultRowHeight="15" x14ac:dyDescent="0.25"/>
  <cols>
    <col min="1" max="1" width="14.85546875" bestFit="1" customWidth="1"/>
    <col min="2" max="2" width="26" bestFit="1" customWidth="1"/>
    <col min="3" max="3" width="10.42578125" bestFit="1" customWidth="1"/>
    <col min="4" max="4" width="12.140625" bestFit="1" customWidth="1"/>
    <col min="5" max="5" width="55.140625" bestFit="1" customWidth="1"/>
    <col min="6" max="6" width="9.42578125" bestFit="1" customWidth="1"/>
    <col min="7" max="8" width="16.7109375" bestFit="1" customWidth="1"/>
    <col min="9" max="9" width="15.5703125" bestFit="1" customWidth="1"/>
    <col min="10" max="10" width="10.140625" bestFit="1" customWidth="1"/>
    <col min="11" max="11" width="16.7109375" bestFit="1" customWidth="1"/>
  </cols>
  <sheetData>
    <row r="1" spans="1:11" x14ac:dyDescent="0.25">
      <c r="A1" s="4" t="s">
        <v>169</v>
      </c>
      <c r="B1" s="4" t="s">
        <v>181</v>
      </c>
      <c r="C1" s="4" t="s">
        <v>170</v>
      </c>
      <c r="D1" s="4" t="s">
        <v>178</v>
      </c>
      <c r="E1" s="4" t="s">
        <v>171</v>
      </c>
      <c r="F1" s="4" t="s">
        <v>172</v>
      </c>
      <c r="G1" s="4" t="s">
        <v>173</v>
      </c>
      <c r="H1" s="4" t="s">
        <v>174</v>
      </c>
      <c r="I1" s="4" t="s">
        <v>175</v>
      </c>
      <c r="J1" s="4" t="s">
        <v>176</v>
      </c>
      <c r="K1" s="4" t="s">
        <v>177</v>
      </c>
    </row>
    <row r="2" spans="1:11" x14ac:dyDescent="0.25">
      <c r="A2" s="1" t="s">
        <v>153</v>
      </c>
      <c r="B2" s="6" t="str">
        <f>+IFERROR(VLOOKUP(A2,pedidos!$A$1:$L$30,2,FALSE),"")</f>
        <v/>
      </c>
      <c r="C2" s="2">
        <v>46078</v>
      </c>
      <c r="D2" s="3">
        <v>800251165</v>
      </c>
      <c r="E2" s="1" t="s">
        <v>2</v>
      </c>
      <c r="F2" s="13">
        <v>0</v>
      </c>
      <c r="G2" s="13">
        <v>308700000</v>
      </c>
      <c r="H2" s="13">
        <v>308700000</v>
      </c>
      <c r="I2" s="13">
        <v>58653000</v>
      </c>
      <c r="J2" s="13">
        <v>0</v>
      </c>
      <c r="K2" s="13">
        <v>367353000</v>
      </c>
    </row>
    <row r="3" spans="1:11" hidden="1" x14ac:dyDescent="0.25">
      <c r="A3" s="1" t="s">
        <v>108</v>
      </c>
      <c r="B3" s="6" t="str">
        <f>+IFERROR(VLOOKUP(A3,pedidos!$A$1:$L$30,2,FALSE),"")</f>
        <v>PD BOG 26000004</v>
      </c>
      <c r="C3" s="2">
        <v>46035</v>
      </c>
      <c r="D3" s="3">
        <v>8002511655</v>
      </c>
      <c r="E3" s="1" t="s">
        <v>2</v>
      </c>
      <c r="F3" s="13">
        <v>0</v>
      </c>
      <c r="G3" s="13">
        <v>3250000</v>
      </c>
      <c r="H3" s="13">
        <v>3250000</v>
      </c>
      <c r="I3" s="13">
        <v>617500</v>
      </c>
      <c r="J3" s="13">
        <v>0</v>
      </c>
      <c r="K3" s="13">
        <v>3867500</v>
      </c>
    </row>
    <row r="4" spans="1:11" x14ac:dyDescent="0.25">
      <c r="A4" s="1" t="s">
        <v>57</v>
      </c>
      <c r="B4" s="6" t="str">
        <f>+IFERROR(VLOOKUP(A4,pedidos!$A$1:$L$30,2,FALSE),"")</f>
        <v/>
      </c>
      <c r="C4" s="2">
        <v>46154</v>
      </c>
      <c r="D4" s="3">
        <v>8002511655</v>
      </c>
      <c r="E4" s="1" t="s">
        <v>2</v>
      </c>
      <c r="F4" s="13">
        <v>0</v>
      </c>
      <c r="G4" s="13">
        <v>155724300</v>
      </c>
      <c r="H4" s="13">
        <v>155724300</v>
      </c>
      <c r="I4" s="13">
        <v>29587617</v>
      </c>
      <c r="J4" s="13">
        <v>0</v>
      </c>
      <c r="K4" s="13">
        <v>185311917</v>
      </c>
    </row>
    <row r="5" spans="1:11" hidden="1" x14ac:dyDescent="0.25">
      <c r="A5" s="1" t="s">
        <v>154</v>
      </c>
      <c r="B5" s="6" t="str">
        <f>+IFERROR(VLOOKUP(A5,pedidos!$A$1:$L$30,2,FALSE),"")</f>
        <v/>
      </c>
      <c r="C5" s="2">
        <v>46080</v>
      </c>
      <c r="D5" s="3">
        <v>900260920</v>
      </c>
      <c r="E5" s="1" t="s">
        <v>14</v>
      </c>
      <c r="F5" s="13">
        <v>0</v>
      </c>
      <c r="G5" s="13">
        <v>137309800</v>
      </c>
      <c r="H5" s="13">
        <v>137309800</v>
      </c>
      <c r="I5" s="13">
        <v>26088862</v>
      </c>
      <c r="J5" s="13">
        <v>0</v>
      </c>
      <c r="K5" s="13">
        <v>163398662</v>
      </c>
    </row>
    <row r="6" spans="1:11" x14ac:dyDescent="0.25">
      <c r="A6" s="1" t="s">
        <v>29</v>
      </c>
      <c r="B6" s="6" t="str">
        <f>+IFERROR(VLOOKUP(A6,pedidos!$A$1:$L$30,2,FALSE),"")</f>
        <v/>
      </c>
      <c r="C6" s="2">
        <v>46132</v>
      </c>
      <c r="D6" s="3">
        <v>8002511655</v>
      </c>
      <c r="E6" s="1" t="s">
        <v>2</v>
      </c>
      <c r="F6" s="13">
        <v>0</v>
      </c>
      <c r="G6" s="13">
        <v>93364750</v>
      </c>
      <c r="H6" s="13">
        <v>93364750</v>
      </c>
      <c r="I6" s="13">
        <v>17739302.5</v>
      </c>
      <c r="J6" s="13">
        <v>0</v>
      </c>
      <c r="K6" s="13">
        <v>111104052.5</v>
      </c>
    </row>
    <row r="7" spans="1:11" x14ac:dyDescent="0.25">
      <c r="A7" s="1" t="s">
        <v>28</v>
      </c>
      <c r="B7" s="6" t="str">
        <f>+IFERROR(VLOOKUP(A7,pedidos!$A$1:$L$30,2,FALSE),"")</f>
        <v/>
      </c>
      <c r="C7" s="2">
        <v>46132</v>
      </c>
      <c r="D7" s="3">
        <v>8002511655</v>
      </c>
      <c r="E7" s="1" t="s">
        <v>2</v>
      </c>
      <c r="F7" s="13">
        <v>0</v>
      </c>
      <c r="G7" s="13">
        <v>91704000</v>
      </c>
      <c r="H7" s="13">
        <v>91704000</v>
      </c>
      <c r="I7" s="13">
        <v>17423760</v>
      </c>
      <c r="J7" s="13">
        <v>0</v>
      </c>
      <c r="K7" s="13">
        <v>109127760</v>
      </c>
    </row>
    <row r="8" spans="1:11" hidden="1" x14ac:dyDescent="0.25">
      <c r="A8" s="1" t="s">
        <v>71</v>
      </c>
      <c r="B8" s="6" t="str">
        <f>+IFERROR(VLOOKUP(A8,pedidos!$A$1:$L$30,2,FALSE),"")</f>
        <v/>
      </c>
      <c r="C8" s="2">
        <v>46162</v>
      </c>
      <c r="D8" s="3">
        <v>900181825</v>
      </c>
      <c r="E8" s="1" t="s">
        <v>70</v>
      </c>
      <c r="F8" s="13">
        <v>0</v>
      </c>
      <c r="G8" s="13">
        <v>86224300</v>
      </c>
      <c r="H8" s="13">
        <v>86224300</v>
      </c>
      <c r="I8" s="13">
        <v>16382617</v>
      </c>
      <c r="J8" s="13">
        <v>0</v>
      </c>
      <c r="K8" s="13">
        <v>102606917</v>
      </c>
    </row>
    <row r="9" spans="1:11" hidden="1" x14ac:dyDescent="0.25">
      <c r="A9" s="1" t="s">
        <v>81</v>
      </c>
      <c r="B9" s="6" t="str">
        <f>+IFERROR(VLOOKUP(A9,pedidos!$A$1:$L$30,2,FALSE),"")</f>
        <v/>
      </c>
      <c r="C9" s="2">
        <v>46163</v>
      </c>
      <c r="D9" s="3">
        <v>79340110</v>
      </c>
      <c r="E9" s="1" t="s">
        <v>80</v>
      </c>
      <c r="F9" s="13">
        <v>0</v>
      </c>
      <c r="G9" s="13">
        <v>85314300</v>
      </c>
      <c r="H9" s="13">
        <v>85314300</v>
      </c>
      <c r="I9" s="13">
        <v>16209717</v>
      </c>
      <c r="J9" s="13">
        <v>0</v>
      </c>
      <c r="K9" s="13">
        <v>101524017</v>
      </c>
    </row>
    <row r="10" spans="1:11" hidden="1" x14ac:dyDescent="0.25">
      <c r="A10" s="1" t="s">
        <v>109</v>
      </c>
      <c r="B10" s="6" t="str">
        <f>+IFERROR(VLOOKUP(A10,pedidos!$A$1:$L$30,2,FALSE),"")</f>
        <v/>
      </c>
      <c r="C10" s="2">
        <v>46035</v>
      </c>
      <c r="D10" s="3">
        <v>901359175</v>
      </c>
      <c r="E10" s="1" t="s">
        <v>110</v>
      </c>
      <c r="F10" s="13">
        <v>0</v>
      </c>
      <c r="G10" s="13">
        <v>79043200</v>
      </c>
      <c r="H10" s="13">
        <v>79043200</v>
      </c>
      <c r="I10" s="13">
        <v>15018208</v>
      </c>
      <c r="J10" s="13">
        <v>0</v>
      </c>
      <c r="K10" s="13">
        <v>94061408</v>
      </c>
    </row>
    <row r="11" spans="1:11" hidden="1" x14ac:dyDescent="0.25">
      <c r="A11" s="1" t="s">
        <v>115</v>
      </c>
      <c r="B11" s="6" t="str">
        <f>+IFERROR(VLOOKUP(A11,pedidos!$A$1:$L$30,2,FALSE),"")</f>
        <v>PD BOG 26000007</v>
      </c>
      <c r="C11" s="2">
        <v>46038</v>
      </c>
      <c r="D11" s="3">
        <v>98400339</v>
      </c>
      <c r="E11" s="1" t="s">
        <v>116</v>
      </c>
      <c r="F11" s="13">
        <v>0</v>
      </c>
      <c r="G11" s="13">
        <v>51102000</v>
      </c>
      <c r="H11" s="13">
        <v>51102000</v>
      </c>
      <c r="I11" s="13">
        <v>9709380</v>
      </c>
      <c r="J11" s="13">
        <v>0</v>
      </c>
      <c r="K11" s="13">
        <v>60811380</v>
      </c>
    </row>
    <row r="12" spans="1:11" hidden="1" x14ac:dyDescent="0.25">
      <c r="A12" s="1" t="s">
        <v>121</v>
      </c>
      <c r="B12" s="6" t="str">
        <f>+IFERROR(VLOOKUP(A12,pedidos!$A$1:$L$30,2,FALSE),"")</f>
        <v>PD BOG 26000009</v>
      </c>
      <c r="C12" s="2">
        <v>46045</v>
      </c>
      <c r="D12" s="3">
        <v>1061801203</v>
      </c>
      <c r="E12" s="1" t="s">
        <v>122</v>
      </c>
      <c r="F12" s="13">
        <v>0</v>
      </c>
      <c r="G12" s="13">
        <v>2445600</v>
      </c>
      <c r="H12" s="13">
        <v>2445600</v>
      </c>
      <c r="I12" s="13">
        <v>464664</v>
      </c>
      <c r="J12" s="13">
        <v>0</v>
      </c>
      <c r="K12" s="13">
        <v>2910264</v>
      </c>
    </row>
    <row r="13" spans="1:11" hidden="1" x14ac:dyDescent="0.25">
      <c r="A13" s="1" t="s">
        <v>83</v>
      </c>
      <c r="B13" s="6" t="str">
        <f>+IFERROR(VLOOKUP(A13,pedidos!$A$1:$L$30,2,FALSE),"")</f>
        <v/>
      </c>
      <c r="C13" s="2">
        <v>46163</v>
      </c>
      <c r="D13" s="3">
        <v>79340110</v>
      </c>
      <c r="E13" s="1" t="s">
        <v>80</v>
      </c>
      <c r="F13" s="13">
        <v>0</v>
      </c>
      <c r="G13" s="13">
        <v>77658000</v>
      </c>
      <c r="H13" s="13">
        <v>77658000</v>
      </c>
      <c r="I13" s="13">
        <v>14755020</v>
      </c>
      <c r="J13" s="13">
        <v>0</v>
      </c>
      <c r="K13" s="13">
        <v>92413020</v>
      </c>
    </row>
    <row r="14" spans="1:11" hidden="1" x14ac:dyDescent="0.25">
      <c r="A14" s="1" t="s">
        <v>125</v>
      </c>
      <c r="B14" s="6" t="str">
        <f>+IFERROR(VLOOKUP(A14,pedidos!$A$1:$L$30,2,FALSE),"")</f>
        <v>PD BOG 26000012</v>
      </c>
      <c r="C14" s="2">
        <v>46050</v>
      </c>
      <c r="D14" s="3">
        <v>80734207</v>
      </c>
      <c r="E14" s="1" t="s">
        <v>126</v>
      </c>
      <c r="F14" s="13">
        <v>0</v>
      </c>
      <c r="G14" s="13">
        <v>50000</v>
      </c>
      <c r="H14" s="13">
        <v>50000</v>
      </c>
      <c r="I14" s="13">
        <v>9500</v>
      </c>
      <c r="J14" s="13">
        <v>0</v>
      </c>
      <c r="K14" s="13">
        <v>59500</v>
      </c>
    </row>
    <row r="15" spans="1:11" hidden="1" x14ac:dyDescent="0.25">
      <c r="A15" s="1" t="s">
        <v>127</v>
      </c>
      <c r="B15" s="6" t="str">
        <f>+IFERROR(VLOOKUP(A15,pedidos!$A$1:$L$30,2,FALSE),"")</f>
        <v>PD BOG 26000013</v>
      </c>
      <c r="C15" s="2">
        <v>46050</v>
      </c>
      <c r="D15" s="3">
        <v>901227424</v>
      </c>
      <c r="E15" s="1" t="s">
        <v>128</v>
      </c>
      <c r="F15" s="13">
        <v>0</v>
      </c>
      <c r="G15" s="13">
        <v>150000</v>
      </c>
      <c r="H15" s="13">
        <v>150000</v>
      </c>
      <c r="I15" s="13">
        <v>28500</v>
      </c>
      <c r="J15" s="13">
        <v>0</v>
      </c>
      <c r="K15" s="13">
        <v>178500</v>
      </c>
    </row>
    <row r="16" spans="1:11" hidden="1" x14ac:dyDescent="0.25">
      <c r="A16" s="1" t="s">
        <v>69</v>
      </c>
      <c r="B16" s="6" t="str">
        <f>+IFERROR(VLOOKUP(A16,pedidos!$A$1:$L$30,2,FALSE),"")</f>
        <v/>
      </c>
      <c r="C16" s="2">
        <v>46162</v>
      </c>
      <c r="D16" s="3">
        <v>900181825</v>
      </c>
      <c r="E16" s="1" t="s">
        <v>70</v>
      </c>
      <c r="F16" s="13">
        <v>0</v>
      </c>
      <c r="G16" s="13">
        <v>75050050</v>
      </c>
      <c r="H16" s="13">
        <v>75050050</v>
      </c>
      <c r="I16" s="13">
        <v>14259509.5</v>
      </c>
      <c r="J16" s="13">
        <v>0</v>
      </c>
      <c r="K16" s="13">
        <v>89309559.5</v>
      </c>
    </row>
    <row r="17" spans="1:11" hidden="1" x14ac:dyDescent="0.25">
      <c r="A17" s="1" t="s">
        <v>79</v>
      </c>
      <c r="B17" s="6" t="str">
        <f>+IFERROR(VLOOKUP(A17,pedidos!$A$1:$L$30,2,FALSE),"")</f>
        <v/>
      </c>
      <c r="C17" s="2">
        <v>46163</v>
      </c>
      <c r="D17" s="3">
        <v>79340110</v>
      </c>
      <c r="E17" s="1" t="s">
        <v>80</v>
      </c>
      <c r="F17" s="13">
        <v>0</v>
      </c>
      <c r="G17" s="13">
        <v>74140050</v>
      </c>
      <c r="H17" s="13">
        <v>74140050</v>
      </c>
      <c r="I17" s="13">
        <v>14086609.5</v>
      </c>
      <c r="J17" s="13">
        <v>0</v>
      </c>
      <c r="K17" s="13">
        <v>88226659.5</v>
      </c>
    </row>
    <row r="18" spans="1:11" hidden="1" x14ac:dyDescent="0.25">
      <c r="A18" s="1" t="s">
        <v>133</v>
      </c>
      <c r="B18" s="6" t="str">
        <f>+IFERROR(VLOOKUP(A18,pedidos!$A$1:$L$30,2,FALSE),"")</f>
        <v>PD BOG 26000016</v>
      </c>
      <c r="C18" s="2">
        <v>46056</v>
      </c>
      <c r="D18" s="3">
        <v>900024921</v>
      </c>
      <c r="E18" s="1" t="s">
        <v>134</v>
      </c>
      <c r="F18" s="13">
        <v>0</v>
      </c>
      <c r="G18" s="13">
        <v>600000</v>
      </c>
      <c r="H18" s="13">
        <v>600000</v>
      </c>
      <c r="I18" s="13">
        <v>114000</v>
      </c>
      <c r="J18" s="13">
        <v>0</v>
      </c>
      <c r="K18" s="13">
        <v>714000</v>
      </c>
    </row>
    <row r="19" spans="1:11" hidden="1" x14ac:dyDescent="0.25">
      <c r="A19" s="1" t="s">
        <v>82</v>
      </c>
      <c r="B19" s="6" t="str">
        <f>+IFERROR(VLOOKUP(A19,pedidos!$A$1:$L$30,2,FALSE),"")</f>
        <v/>
      </c>
      <c r="C19" s="2">
        <v>46163</v>
      </c>
      <c r="D19" s="3">
        <v>79340110</v>
      </c>
      <c r="E19" s="1" t="s">
        <v>80</v>
      </c>
      <c r="F19" s="13">
        <v>0</v>
      </c>
      <c r="G19" s="13">
        <v>72018000</v>
      </c>
      <c r="H19" s="13">
        <v>72018000</v>
      </c>
      <c r="I19" s="13">
        <v>13683420</v>
      </c>
      <c r="J19" s="13">
        <v>0</v>
      </c>
      <c r="K19" s="13">
        <v>85701420</v>
      </c>
    </row>
    <row r="20" spans="1:11" hidden="1" x14ac:dyDescent="0.25">
      <c r="A20" s="1" t="s">
        <v>136</v>
      </c>
      <c r="B20" s="6" t="str">
        <f>+IFERROR(VLOOKUP(A20,pedidos!$A$1:$L$30,2,FALSE),"")</f>
        <v>PD BOG 26000019</v>
      </c>
      <c r="C20" s="2">
        <v>46057</v>
      </c>
      <c r="D20" s="3">
        <v>901229729</v>
      </c>
      <c r="E20" s="1" t="s">
        <v>137</v>
      </c>
      <c r="F20" s="13">
        <v>0</v>
      </c>
      <c r="G20" s="13">
        <v>230000</v>
      </c>
      <c r="H20" s="13">
        <v>230000</v>
      </c>
      <c r="I20" s="13">
        <v>43700</v>
      </c>
      <c r="J20" s="13">
        <v>0</v>
      </c>
      <c r="K20" s="13">
        <v>273700</v>
      </c>
    </row>
    <row r="21" spans="1:11" hidden="1" x14ac:dyDescent="0.25">
      <c r="A21" s="1" t="s">
        <v>138</v>
      </c>
      <c r="B21" s="6" t="str">
        <f>+IFERROR(VLOOKUP(A21,pedidos!$A$1:$L$30,2,FALSE),"")</f>
        <v>PD BOG 26000021</v>
      </c>
      <c r="C21" s="2">
        <v>46060</v>
      </c>
      <c r="D21" s="3">
        <v>1061801203</v>
      </c>
      <c r="E21" s="1" t="s">
        <v>122</v>
      </c>
      <c r="F21" s="13">
        <v>0</v>
      </c>
      <c r="G21" s="13">
        <v>305700</v>
      </c>
      <c r="H21" s="13">
        <v>305700</v>
      </c>
      <c r="I21" s="13">
        <v>58083</v>
      </c>
      <c r="J21" s="13">
        <v>0</v>
      </c>
      <c r="K21" s="13">
        <v>363783</v>
      </c>
    </row>
    <row r="22" spans="1:11" hidden="1" x14ac:dyDescent="0.25">
      <c r="A22" s="1" t="s">
        <v>139</v>
      </c>
      <c r="B22" s="6" t="str">
        <f>+IFERROR(VLOOKUP(A22,pedidos!$A$1:$L$30,2,FALSE),"")</f>
        <v>PD BOG 26000024</v>
      </c>
      <c r="C22" s="2">
        <v>46066</v>
      </c>
      <c r="D22" s="3">
        <v>900024921</v>
      </c>
      <c r="E22" s="1" t="s">
        <v>134</v>
      </c>
      <c r="F22" s="13">
        <v>0</v>
      </c>
      <c r="G22" s="13">
        <v>148000</v>
      </c>
      <c r="H22" s="13">
        <v>148000</v>
      </c>
      <c r="I22" s="13">
        <v>28120</v>
      </c>
      <c r="J22" s="13">
        <v>0</v>
      </c>
      <c r="K22" s="13">
        <v>176120</v>
      </c>
    </row>
    <row r="23" spans="1:11" hidden="1" x14ac:dyDescent="0.25">
      <c r="A23" s="1" t="s">
        <v>145</v>
      </c>
      <c r="B23" s="6" t="str">
        <f>+IFERROR(VLOOKUP(A23,pedidos!$A$1:$L$30,2,FALSE),"")</f>
        <v/>
      </c>
      <c r="C23" s="2">
        <v>46069</v>
      </c>
      <c r="D23" s="3">
        <v>901295318</v>
      </c>
      <c r="E23" s="1" t="s">
        <v>146</v>
      </c>
      <c r="F23" s="13">
        <v>0</v>
      </c>
      <c r="G23" s="13">
        <v>62284000</v>
      </c>
      <c r="H23" s="13">
        <v>62284000</v>
      </c>
      <c r="I23" s="13">
        <v>11833960</v>
      </c>
      <c r="J23" s="13">
        <v>0</v>
      </c>
      <c r="K23" s="13">
        <v>74117960</v>
      </c>
    </row>
    <row r="24" spans="1:11" hidden="1" x14ac:dyDescent="0.25">
      <c r="A24" s="1" t="s">
        <v>142</v>
      </c>
      <c r="B24" s="6" t="str">
        <f>+IFERROR(VLOOKUP(A24,pedidos!$A$1:$L$30,2,FALSE),"")</f>
        <v/>
      </c>
      <c r="C24" s="2">
        <v>46066</v>
      </c>
      <c r="D24" s="3">
        <v>901488351</v>
      </c>
      <c r="E24" s="1" t="s">
        <v>143</v>
      </c>
      <c r="F24" s="13">
        <v>0</v>
      </c>
      <c r="G24" s="13">
        <v>58771200</v>
      </c>
      <c r="H24" s="13">
        <v>58771200</v>
      </c>
      <c r="I24" s="13">
        <v>11166528</v>
      </c>
      <c r="J24" s="13">
        <v>0</v>
      </c>
      <c r="K24" s="13">
        <v>69937728</v>
      </c>
    </row>
    <row r="25" spans="1:11" hidden="1" x14ac:dyDescent="0.25">
      <c r="A25" s="1" t="s">
        <v>144</v>
      </c>
      <c r="B25" s="6" t="str">
        <f>+IFERROR(VLOOKUP(A25,pedidos!$A$1:$L$30,2,FALSE),"")</f>
        <v>PD BOG 26000025</v>
      </c>
      <c r="C25" s="2">
        <v>46067</v>
      </c>
      <c r="D25" s="3">
        <v>1015472285</v>
      </c>
      <c r="E25" s="1" t="s">
        <v>16</v>
      </c>
      <c r="F25" s="13">
        <v>0</v>
      </c>
      <c r="G25" s="13">
        <v>229250</v>
      </c>
      <c r="H25" s="13">
        <v>229250</v>
      </c>
      <c r="I25" s="13">
        <v>43557.5</v>
      </c>
      <c r="J25" s="13">
        <v>0</v>
      </c>
      <c r="K25" s="13">
        <v>272807.5</v>
      </c>
    </row>
    <row r="26" spans="1:11" hidden="1" x14ac:dyDescent="0.25">
      <c r="A26" s="1" t="s">
        <v>38</v>
      </c>
      <c r="B26" s="6" t="str">
        <f>+IFERROR(VLOOKUP(A26,pedidos!$A$1:$L$30,2,FALSE),"")</f>
        <v/>
      </c>
      <c r="C26" s="2">
        <v>46140</v>
      </c>
      <c r="D26" s="3">
        <v>6676278</v>
      </c>
      <c r="E26" s="1" t="s">
        <v>39</v>
      </c>
      <c r="F26" s="13">
        <v>0</v>
      </c>
      <c r="G26" s="13">
        <v>52340500</v>
      </c>
      <c r="H26" s="13">
        <v>52340500</v>
      </c>
      <c r="I26" s="13">
        <v>9944695</v>
      </c>
      <c r="J26" s="13">
        <v>0</v>
      </c>
      <c r="K26" s="13">
        <v>62285195</v>
      </c>
    </row>
    <row r="27" spans="1:11" hidden="1" x14ac:dyDescent="0.25">
      <c r="A27" s="1" t="s">
        <v>19</v>
      </c>
      <c r="B27" s="6" t="str">
        <f>+IFERROR(VLOOKUP(A27,pedidos!$A$1:$L$30,2,FALSE),"")</f>
        <v/>
      </c>
      <c r="C27" s="2">
        <v>46106</v>
      </c>
      <c r="D27" s="3">
        <v>901300914</v>
      </c>
      <c r="E27" s="1" t="s">
        <v>20</v>
      </c>
      <c r="F27" s="13">
        <v>0</v>
      </c>
      <c r="G27" s="13">
        <v>51450000</v>
      </c>
      <c r="H27" s="13">
        <v>51450000</v>
      </c>
      <c r="I27" s="13">
        <v>9775500</v>
      </c>
      <c r="J27" s="13">
        <v>0</v>
      </c>
      <c r="K27" s="13">
        <v>61225500</v>
      </c>
    </row>
    <row r="28" spans="1:11" hidden="1" x14ac:dyDescent="0.25">
      <c r="A28" s="1" t="s">
        <v>148</v>
      </c>
      <c r="B28" s="6" t="str">
        <f>+IFERROR(VLOOKUP(A28,pedidos!$A$1:$L$30,2,FALSE),"")</f>
        <v>PD BOG 26000028</v>
      </c>
      <c r="C28" s="2">
        <v>46070</v>
      </c>
      <c r="D28" s="3">
        <v>860034174</v>
      </c>
      <c r="E28" s="1" t="s">
        <v>36</v>
      </c>
      <c r="F28" s="13">
        <v>0</v>
      </c>
      <c r="G28" s="13">
        <v>262500</v>
      </c>
      <c r="H28" s="13">
        <v>262500</v>
      </c>
      <c r="I28" s="13">
        <v>49875</v>
      </c>
      <c r="J28" s="13">
        <v>0</v>
      </c>
      <c r="K28" s="13">
        <v>312375</v>
      </c>
    </row>
    <row r="29" spans="1:11" hidden="1" x14ac:dyDescent="0.25">
      <c r="A29" s="1" t="s">
        <v>149</v>
      </c>
      <c r="B29" s="6" t="str">
        <f>+IFERROR(VLOOKUP(A29,pedidos!$A$1:$L$30,2,FALSE),"")</f>
        <v>PD BOG 26000032</v>
      </c>
      <c r="C29" s="2">
        <v>46072</v>
      </c>
      <c r="D29" s="3">
        <v>8002511655</v>
      </c>
      <c r="E29" s="1" t="s">
        <v>2</v>
      </c>
      <c r="F29" s="13">
        <v>0</v>
      </c>
      <c r="G29" s="13">
        <v>8987500</v>
      </c>
      <c r="H29" s="13">
        <v>8987500</v>
      </c>
      <c r="I29" s="13">
        <v>1707625</v>
      </c>
      <c r="J29" s="13">
        <v>0</v>
      </c>
      <c r="K29" s="13">
        <v>10695125</v>
      </c>
    </row>
    <row r="30" spans="1:11" x14ac:dyDescent="0.25">
      <c r="A30" s="1" t="s">
        <v>52</v>
      </c>
      <c r="B30" s="6" t="str">
        <f>+IFERROR(VLOOKUP(A30,pedidos!$A$1:$L$30,2,FALSE),"")</f>
        <v/>
      </c>
      <c r="C30" s="2">
        <v>46148</v>
      </c>
      <c r="D30" s="3">
        <v>8002511655</v>
      </c>
      <c r="E30" s="1" t="s">
        <v>2</v>
      </c>
      <c r="F30" s="13">
        <v>0</v>
      </c>
      <c r="G30" s="13">
        <v>50066000</v>
      </c>
      <c r="H30" s="13">
        <v>50066000</v>
      </c>
      <c r="I30" s="13">
        <v>9512540</v>
      </c>
      <c r="J30" s="13">
        <v>0</v>
      </c>
      <c r="K30" s="13">
        <v>59578540</v>
      </c>
    </row>
    <row r="31" spans="1:11" hidden="1" x14ac:dyDescent="0.25">
      <c r="A31" s="1" t="s">
        <v>40</v>
      </c>
      <c r="B31" s="6" t="str">
        <f>+IFERROR(VLOOKUP(A31,pedidos!$A$1:$L$30,2,FALSE),"")</f>
        <v/>
      </c>
      <c r="C31" s="2">
        <v>46140</v>
      </c>
      <c r="D31" s="3">
        <v>6676278</v>
      </c>
      <c r="E31" s="1" t="s">
        <v>39</v>
      </c>
      <c r="F31" s="13">
        <v>0</v>
      </c>
      <c r="G31" s="13">
        <v>50060500</v>
      </c>
      <c r="H31" s="13">
        <v>50060500</v>
      </c>
      <c r="I31" s="13">
        <v>9511495</v>
      </c>
      <c r="J31" s="13">
        <v>0</v>
      </c>
      <c r="K31" s="13">
        <v>59571995</v>
      </c>
    </row>
    <row r="32" spans="1:11" hidden="1" x14ac:dyDescent="0.25">
      <c r="A32" s="1" t="s">
        <v>44</v>
      </c>
      <c r="B32" s="6" t="str">
        <f>+IFERROR(VLOOKUP(A32,pedidos!$A$1:$L$30,2,FALSE),"")</f>
        <v/>
      </c>
      <c r="C32" s="2">
        <v>46141</v>
      </c>
      <c r="D32" s="3">
        <v>1070964662</v>
      </c>
      <c r="E32" s="1" t="s">
        <v>45</v>
      </c>
      <c r="F32" s="13">
        <v>0</v>
      </c>
      <c r="G32" s="13">
        <v>49759000</v>
      </c>
      <c r="H32" s="13">
        <v>49759000</v>
      </c>
      <c r="I32" s="13">
        <v>9454210</v>
      </c>
      <c r="J32" s="13">
        <v>0</v>
      </c>
      <c r="K32" s="13">
        <v>59213210</v>
      </c>
    </row>
    <row r="33" spans="1:11" hidden="1" x14ac:dyDescent="0.25">
      <c r="A33" s="1" t="s">
        <v>147</v>
      </c>
      <c r="B33" s="6" t="str">
        <f>+IFERROR(VLOOKUP(A33,pedidos!$A$1:$L$30,2,FALSE),"")</f>
        <v/>
      </c>
      <c r="C33" s="2">
        <v>46069</v>
      </c>
      <c r="D33" s="3">
        <v>901295318</v>
      </c>
      <c r="E33" s="1" t="s">
        <v>146</v>
      </c>
      <c r="F33" s="13">
        <v>0</v>
      </c>
      <c r="G33" s="13">
        <v>46924000</v>
      </c>
      <c r="H33" s="13">
        <v>46924000</v>
      </c>
      <c r="I33" s="13">
        <v>8915560</v>
      </c>
      <c r="J33" s="13">
        <v>0</v>
      </c>
      <c r="K33" s="13">
        <v>55839560</v>
      </c>
    </row>
    <row r="34" spans="1:11" hidden="1" x14ac:dyDescent="0.25">
      <c r="A34" s="1" t="s">
        <v>48</v>
      </c>
      <c r="B34" s="6" t="str">
        <f>+IFERROR(VLOOKUP(A34,pedidos!$A$1:$L$30,2,FALSE),"")</f>
        <v/>
      </c>
      <c r="C34" s="2">
        <v>46141</v>
      </c>
      <c r="D34" s="3">
        <v>16733699</v>
      </c>
      <c r="E34" s="1" t="s">
        <v>49</v>
      </c>
      <c r="F34" s="13">
        <v>0</v>
      </c>
      <c r="G34" s="13">
        <v>42080500</v>
      </c>
      <c r="H34" s="13">
        <v>42080500</v>
      </c>
      <c r="I34" s="13">
        <v>7995295</v>
      </c>
      <c r="J34" s="13">
        <v>0</v>
      </c>
      <c r="K34" s="13">
        <v>50075795</v>
      </c>
    </row>
    <row r="35" spans="1:11" hidden="1" x14ac:dyDescent="0.25">
      <c r="A35" s="1" t="s">
        <v>87</v>
      </c>
      <c r="B35" s="6" t="str">
        <f>+IFERROR(VLOOKUP(A35,pedidos!$A$1:$L$30,2,FALSE),"")</f>
        <v/>
      </c>
      <c r="C35" s="2">
        <v>46165</v>
      </c>
      <c r="D35" s="3">
        <v>13702636</v>
      </c>
      <c r="E35" s="1" t="s">
        <v>88</v>
      </c>
      <c r="F35" s="13">
        <v>0</v>
      </c>
      <c r="G35" s="13">
        <v>32500000</v>
      </c>
      <c r="H35" s="13">
        <v>32500000</v>
      </c>
      <c r="I35" s="13">
        <v>6175000</v>
      </c>
      <c r="J35" s="13">
        <v>0</v>
      </c>
      <c r="K35" s="13">
        <v>38675000</v>
      </c>
    </row>
    <row r="36" spans="1:11" hidden="1" x14ac:dyDescent="0.25">
      <c r="A36" s="1" t="s">
        <v>1</v>
      </c>
      <c r="B36" s="6" t="str">
        <f>+IFERROR(VLOOKUP(A36,pedidos!$A$1:$L$30,2,FALSE),"")</f>
        <v>PD BOG 26000038</v>
      </c>
      <c r="C36" s="2">
        <v>46083</v>
      </c>
      <c r="D36" s="3">
        <v>8002511655</v>
      </c>
      <c r="E36" s="1" t="s">
        <v>2</v>
      </c>
      <c r="F36" s="13">
        <v>0</v>
      </c>
      <c r="G36" s="13">
        <v>964500</v>
      </c>
      <c r="H36" s="13">
        <v>964500</v>
      </c>
      <c r="I36" s="13">
        <v>183255</v>
      </c>
      <c r="J36" s="13">
        <v>0</v>
      </c>
      <c r="K36" s="13">
        <v>1147755</v>
      </c>
    </row>
    <row r="37" spans="1:11" hidden="1" x14ac:dyDescent="0.25">
      <c r="A37" s="1" t="s">
        <v>4</v>
      </c>
      <c r="B37" s="6" t="str">
        <f>+IFERROR(VLOOKUP(A37,pedidos!$A$1:$L$30,2,FALSE),"")</f>
        <v>PD BOG 26000039</v>
      </c>
      <c r="C37" s="2">
        <v>46085</v>
      </c>
      <c r="D37" s="3">
        <v>1075224078</v>
      </c>
      <c r="E37" s="1" t="s">
        <v>5</v>
      </c>
      <c r="F37" s="13">
        <v>0</v>
      </c>
      <c r="G37" s="13">
        <v>135000</v>
      </c>
      <c r="H37" s="13">
        <v>135000</v>
      </c>
      <c r="I37" s="13">
        <v>25650</v>
      </c>
      <c r="J37" s="13">
        <v>0</v>
      </c>
      <c r="K37" s="13">
        <v>160650</v>
      </c>
    </row>
    <row r="38" spans="1:11" hidden="1" x14ac:dyDescent="0.25">
      <c r="A38" s="1" t="s">
        <v>41</v>
      </c>
      <c r="B38" s="6" t="str">
        <f>+IFERROR(VLOOKUP(A38,pedidos!$A$1:$L$30,2,FALSE),"")</f>
        <v/>
      </c>
      <c r="C38" s="2">
        <v>46140</v>
      </c>
      <c r="D38" s="3">
        <v>6676278</v>
      </c>
      <c r="E38" s="1" t="s">
        <v>39</v>
      </c>
      <c r="F38" s="13">
        <v>0</v>
      </c>
      <c r="G38" s="13">
        <v>29741700</v>
      </c>
      <c r="H38" s="13">
        <v>29741700</v>
      </c>
      <c r="I38" s="13">
        <v>5650923</v>
      </c>
      <c r="J38" s="13">
        <v>0</v>
      </c>
      <c r="K38" s="13">
        <v>35392623</v>
      </c>
    </row>
    <row r="39" spans="1:11" x14ac:dyDescent="0.25">
      <c r="A39" s="1" t="s">
        <v>37</v>
      </c>
      <c r="B39" s="6" t="str">
        <f>+IFERROR(VLOOKUP(A39,pedidos!$A$1:$L$30,2,FALSE),"")</f>
        <v/>
      </c>
      <c r="C39" s="2">
        <v>46139</v>
      </c>
      <c r="D39" s="3">
        <v>8002511655</v>
      </c>
      <c r="E39" s="1" t="s">
        <v>2</v>
      </c>
      <c r="F39" s="13">
        <v>0</v>
      </c>
      <c r="G39" s="13">
        <v>27054150</v>
      </c>
      <c r="H39" s="13">
        <v>27054150</v>
      </c>
      <c r="I39" s="13">
        <v>5140288.5</v>
      </c>
      <c r="J39" s="13">
        <v>0</v>
      </c>
      <c r="K39" s="13">
        <v>32194438.5</v>
      </c>
    </row>
    <row r="40" spans="1:11" hidden="1" x14ac:dyDescent="0.25">
      <c r="A40" s="1" t="s">
        <v>129</v>
      </c>
      <c r="B40" s="6" t="str">
        <f>+IFERROR(VLOOKUP(A40,pedidos!$A$1:$L$30,2,FALSE),"")</f>
        <v/>
      </c>
      <c r="C40" s="2">
        <v>46051</v>
      </c>
      <c r="D40" s="3">
        <v>900054514</v>
      </c>
      <c r="E40" s="1" t="s">
        <v>130</v>
      </c>
      <c r="F40" s="13">
        <v>0</v>
      </c>
      <c r="G40" s="13">
        <v>26700000</v>
      </c>
      <c r="H40" s="13">
        <v>26700000</v>
      </c>
      <c r="I40" s="13">
        <v>5073000</v>
      </c>
      <c r="J40" s="13">
        <v>0</v>
      </c>
      <c r="K40" s="13">
        <v>31773000</v>
      </c>
    </row>
    <row r="41" spans="1:11" hidden="1" x14ac:dyDescent="0.25">
      <c r="A41" s="1" t="s">
        <v>50</v>
      </c>
      <c r="B41" s="6" t="str">
        <f>+IFERROR(VLOOKUP(A41,pedidos!$A$1:$L$30,2,FALSE),"")</f>
        <v/>
      </c>
      <c r="C41" s="2">
        <v>46146</v>
      </c>
      <c r="D41" s="3">
        <v>900325497</v>
      </c>
      <c r="E41" s="1" t="s">
        <v>51</v>
      </c>
      <c r="F41" s="13">
        <v>0</v>
      </c>
      <c r="G41" s="13">
        <v>24847500</v>
      </c>
      <c r="H41" s="13">
        <v>24847500</v>
      </c>
      <c r="I41" s="13">
        <v>4721025</v>
      </c>
      <c r="J41" s="13">
        <v>0</v>
      </c>
      <c r="K41" s="13">
        <v>29568525</v>
      </c>
    </row>
    <row r="42" spans="1:11" hidden="1" x14ac:dyDescent="0.25">
      <c r="A42" s="1" t="s">
        <v>106</v>
      </c>
      <c r="B42" s="6" t="str">
        <f>+IFERROR(VLOOKUP(A42,pedidos!$A$1:$L$30,2,FALSE),"")</f>
        <v/>
      </c>
      <c r="C42" s="2">
        <v>46028</v>
      </c>
      <c r="D42" s="3">
        <v>901328488</v>
      </c>
      <c r="E42" s="1" t="s">
        <v>107</v>
      </c>
      <c r="F42" s="13">
        <v>0</v>
      </c>
      <c r="G42" s="13">
        <v>22789000</v>
      </c>
      <c r="H42" s="13">
        <v>22789000</v>
      </c>
      <c r="I42" s="13">
        <v>4329910</v>
      </c>
      <c r="J42" s="13">
        <v>0</v>
      </c>
      <c r="K42" s="13">
        <v>27118910</v>
      </c>
    </row>
    <row r="43" spans="1:11" hidden="1" x14ac:dyDescent="0.25">
      <c r="A43" s="1" t="s">
        <v>13</v>
      </c>
      <c r="B43" s="6" t="str">
        <f>+IFERROR(VLOOKUP(A43,pedidos!$A$1:$L$30,2,FALSE),"")</f>
        <v>PD BOG 26000044</v>
      </c>
      <c r="C43" s="2">
        <v>46097</v>
      </c>
      <c r="D43" s="3">
        <v>900260920</v>
      </c>
      <c r="E43" s="1" t="s">
        <v>14</v>
      </c>
      <c r="F43" s="13">
        <v>0</v>
      </c>
      <c r="G43" s="13">
        <v>28665800</v>
      </c>
      <c r="H43" s="13">
        <v>28665800</v>
      </c>
      <c r="I43" s="13">
        <v>5446502</v>
      </c>
      <c r="J43" s="13">
        <v>0</v>
      </c>
      <c r="K43" s="13">
        <v>34112302</v>
      </c>
    </row>
    <row r="44" spans="1:11" hidden="1" x14ac:dyDescent="0.25">
      <c r="A44" s="1" t="s">
        <v>15</v>
      </c>
      <c r="B44" s="6" t="str">
        <f>+IFERROR(VLOOKUP(A44,pedidos!$A$1:$L$30,2,FALSE),"")</f>
        <v>PD BOG 26000046</v>
      </c>
      <c r="C44" s="2">
        <v>46100</v>
      </c>
      <c r="D44" s="3">
        <v>1015472285</v>
      </c>
      <c r="E44" s="1" t="s">
        <v>16</v>
      </c>
      <c r="F44" s="13">
        <v>0</v>
      </c>
      <c r="G44" s="13">
        <v>393000</v>
      </c>
      <c r="H44" s="13">
        <v>393000</v>
      </c>
      <c r="I44" s="13">
        <v>74670</v>
      </c>
      <c r="J44" s="13">
        <v>0</v>
      </c>
      <c r="K44" s="13">
        <v>467670</v>
      </c>
    </row>
    <row r="45" spans="1:11" hidden="1" x14ac:dyDescent="0.25">
      <c r="A45" s="1" t="s">
        <v>119</v>
      </c>
      <c r="B45" s="6" t="str">
        <f>+IFERROR(VLOOKUP(A45,pedidos!$A$1:$L$30,2,FALSE),"")</f>
        <v/>
      </c>
      <c r="C45" s="2">
        <v>46037</v>
      </c>
      <c r="D45" s="3">
        <v>700073891</v>
      </c>
      <c r="E45" s="1" t="s">
        <v>120</v>
      </c>
      <c r="F45" s="13">
        <v>0</v>
      </c>
      <c r="G45" s="13">
        <v>14446100</v>
      </c>
      <c r="H45" s="13">
        <v>14446100</v>
      </c>
      <c r="I45" s="13">
        <v>1756759</v>
      </c>
      <c r="J45" s="13">
        <v>0</v>
      </c>
      <c r="K45" s="13">
        <v>16202859</v>
      </c>
    </row>
    <row r="46" spans="1:11" hidden="1" x14ac:dyDescent="0.25">
      <c r="A46" s="1" t="s">
        <v>21</v>
      </c>
      <c r="B46" s="6" t="str">
        <f>+IFERROR(VLOOKUP(A46,pedidos!$A$1:$L$30,2,FALSE),"")</f>
        <v>PD BOG 26000050</v>
      </c>
      <c r="C46" s="2">
        <v>46106</v>
      </c>
      <c r="D46" s="3">
        <v>901924140</v>
      </c>
      <c r="E46" s="1" t="s">
        <v>22</v>
      </c>
      <c r="F46" s="13">
        <v>0</v>
      </c>
      <c r="G46" s="13">
        <v>1231000</v>
      </c>
      <c r="H46" s="13">
        <v>1231000</v>
      </c>
      <c r="I46" s="13">
        <v>233890</v>
      </c>
      <c r="J46" s="13">
        <v>0</v>
      </c>
      <c r="K46" s="13">
        <v>1464890</v>
      </c>
    </row>
    <row r="47" spans="1:11" hidden="1" x14ac:dyDescent="0.25">
      <c r="A47" s="1" t="s">
        <v>131</v>
      </c>
      <c r="B47" s="6" t="str">
        <f>+IFERROR(VLOOKUP(A47,pedidos!$A$1:$L$30,2,FALSE),"")</f>
        <v/>
      </c>
      <c r="C47" s="2">
        <v>46051</v>
      </c>
      <c r="D47" s="3">
        <v>900132764</v>
      </c>
      <c r="E47" s="1" t="s">
        <v>132</v>
      </c>
      <c r="F47" s="13">
        <v>0</v>
      </c>
      <c r="G47" s="13">
        <v>13200000</v>
      </c>
      <c r="H47" s="13">
        <v>13200000</v>
      </c>
      <c r="I47" s="13">
        <v>2508000</v>
      </c>
      <c r="J47" s="13">
        <v>0</v>
      </c>
      <c r="K47" s="13">
        <v>15708000</v>
      </c>
    </row>
    <row r="48" spans="1:11" hidden="1" x14ac:dyDescent="0.25">
      <c r="A48" s="1" t="s">
        <v>23</v>
      </c>
      <c r="B48" s="6" t="str">
        <f>+IFERROR(VLOOKUP(A48,pedidos!$A$1:$L$30,2,FALSE),"")</f>
        <v>PD BOG 26000072</v>
      </c>
      <c r="C48" s="2">
        <v>46107</v>
      </c>
      <c r="D48" s="3">
        <v>901924140</v>
      </c>
      <c r="E48" s="1" t="s">
        <v>22</v>
      </c>
      <c r="F48" s="13">
        <v>0</v>
      </c>
      <c r="G48" s="13">
        <v>577899.19999999995</v>
      </c>
      <c r="H48" s="13">
        <v>577899.19999999995</v>
      </c>
      <c r="I48" s="13">
        <v>109800.85</v>
      </c>
      <c r="J48" s="13">
        <v>0</v>
      </c>
      <c r="K48" s="13">
        <v>687700.05</v>
      </c>
    </row>
    <row r="49" spans="1:11" hidden="1" x14ac:dyDescent="0.25">
      <c r="A49" s="1" t="s">
        <v>24</v>
      </c>
      <c r="B49" s="6" t="str">
        <f>+IFERROR(VLOOKUP(A49,pedidos!$A$1:$L$30,2,FALSE),"")</f>
        <v>PD BOG 26000057</v>
      </c>
      <c r="C49" s="2">
        <v>46121</v>
      </c>
      <c r="D49" s="3">
        <v>900500099</v>
      </c>
      <c r="E49" s="1" t="s">
        <v>25</v>
      </c>
      <c r="F49" s="13">
        <v>0</v>
      </c>
      <c r="G49" s="13">
        <v>4758600</v>
      </c>
      <c r="H49" s="13">
        <v>4758600</v>
      </c>
      <c r="I49" s="13">
        <v>904134</v>
      </c>
      <c r="J49" s="13">
        <v>0</v>
      </c>
      <c r="K49" s="13">
        <v>5662734</v>
      </c>
    </row>
    <row r="50" spans="1:11" hidden="1" x14ac:dyDescent="0.25">
      <c r="A50" s="1" t="s">
        <v>26</v>
      </c>
      <c r="B50" s="6" t="str">
        <f>+IFERROR(VLOOKUP(A50,pedidos!$A$1:$L$30,2,FALSE),"")</f>
        <v>PD BOG 26000059</v>
      </c>
      <c r="C50" s="2">
        <v>46126</v>
      </c>
      <c r="D50" s="3">
        <v>79425359</v>
      </c>
      <c r="E50" s="1" t="s">
        <v>27</v>
      </c>
      <c r="F50" s="13">
        <v>0</v>
      </c>
      <c r="G50" s="13">
        <v>6300000</v>
      </c>
      <c r="H50" s="13">
        <v>6300000</v>
      </c>
      <c r="I50" s="13">
        <v>1197000</v>
      </c>
      <c r="J50" s="13">
        <v>0</v>
      </c>
      <c r="K50" s="13">
        <v>7497000</v>
      </c>
    </row>
    <row r="51" spans="1:11" hidden="1" x14ac:dyDescent="0.25">
      <c r="A51" s="1" t="s">
        <v>150</v>
      </c>
      <c r="B51" s="6" t="str">
        <f>+IFERROR(VLOOKUP(A51,pedidos!$A$1:$L$30,2,FALSE),"")</f>
        <v/>
      </c>
      <c r="C51" s="2">
        <v>46072</v>
      </c>
      <c r="D51" s="3">
        <v>901625040</v>
      </c>
      <c r="E51" s="1" t="s">
        <v>7</v>
      </c>
      <c r="F51" s="13">
        <v>0</v>
      </c>
      <c r="G51" s="13">
        <v>12174300</v>
      </c>
      <c r="H51" s="13">
        <v>12174300</v>
      </c>
      <c r="I51" s="13">
        <v>2313117</v>
      </c>
      <c r="J51" s="13">
        <v>0</v>
      </c>
      <c r="K51" s="13">
        <v>14487417</v>
      </c>
    </row>
    <row r="52" spans="1:11" hidden="1" x14ac:dyDescent="0.25">
      <c r="A52" s="1" t="s">
        <v>58</v>
      </c>
      <c r="B52" s="6" t="str">
        <f>+IFERROR(VLOOKUP(A52,pedidos!$A$1:$L$30,2,FALSE),"")</f>
        <v/>
      </c>
      <c r="C52" s="2">
        <v>46155</v>
      </c>
      <c r="D52" s="3">
        <v>79156905</v>
      </c>
      <c r="E52" s="1" t="s">
        <v>59</v>
      </c>
      <c r="F52" s="13">
        <v>0</v>
      </c>
      <c r="G52" s="13">
        <v>12134100</v>
      </c>
      <c r="H52" s="13">
        <v>12134100</v>
      </c>
      <c r="I52" s="13">
        <v>2305479</v>
      </c>
      <c r="J52" s="13">
        <v>0</v>
      </c>
      <c r="K52" s="13">
        <v>14439579</v>
      </c>
    </row>
    <row r="53" spans="1:11" hidden="1" x14ac:dyDescent="0.25">
      <c r="A53" s="1" t="s">
        <v>30</v>
      </c>
      <c r="B53" s="6" t="str">
        <f>+IFERROR(VLOOKUP(A53,pedidos!$A$1:$L$30,2,FALSE),"")</f>
        <v>PD BOG 26000063</v>
      </c>
      <c r="C53" s="2">
        <v>46135</v>
      </c>
      <c r="D53" s="3">
        <v>8002511655</v>
      </c>
      <c r="E53" s="1" t="s">
        <v>2</v>
      </c>
      <c r="F53" s="13">
        <v>0</v>
      </c>
      <c r="G53" s="13">
        <v>964500</v>
      </c>
      <c r="H53" s="13">
        <v>964500</v>
      </c>
      <c r="I53" s="13">
        <v>183255</v>
      </c>
      <c r="J53" s="13">
        <v>0</v>
      </c>
      <c r="K53" s="13">
        <v>1147755</v>
      </c>
    </row>
    <row r="54" spans="1:11" hidden="1" x14ac:dyDescent="0.25">
      <c r="A54" s="1" t="s">
        <v>62</v>
      </c>
      <c r="B54" s="6" t="str">
        <f>+IFERROR(VLOOKUP(A54,pedidos!$A$1:$L$30,2,FALSE),"")</f>
        <v/>
      </c>
      <c r="C54" s="2">
        <v>46157</v>
      </c>
      <c r="D54" s="3">
        <v>79278768</v>
      </c>
      <c r="E54" s="1" t="s">
        <v>63</v>
      </c>
      <c r="F54" s="13">
        <v>0</v>
      </c>
      <c r="G54" s="13">
        <v>10813750</v>
      </c>
      <c r="H54" s="13">
        <v>10813750</v>
      </c>
      <c r="I54" s="13">
        <v>2054612.5</v>
      </c>
      <c r="J54" s="13">
        <v>0</v>
      </c>
      <c r="K54" s="13">
        <v>12868362.5</v>
      </c>
    </row>
    <row r="55" spans="1:11" hidden="1" x14ac:dyDescent="0.25">
      <c r="A55" s="1" t="s">
        <v>6</v>
      </c>
      <c r="B55" s="6" t="str">
        <f>+IFERROR(VLOOKUP(A55,pedidos!$A$1:$L$30,2,FALSE),"")</f>
        <v/>
      </c>
      <c r="C55" s="2">
        <v>46086</v>
      </c>
      <c r="D55" s="3">
        <v>901625040</v>
      </c>
      <c r="E55" s="1" t="s">
        <v>7</v>
      </c>
      <c r="F55" s="13">
        <v>0</v>
      </c>
      <c r="G55" s="13">
        <v>10773500</v>
      </c>
      <c r="H55" s="13">
        <v>10773500</v>
      </c>
      <c r="I55" s="13">
        <v>2046965</v>
      </c>
      <c r="J55" s="13">
        <v>0</v>
      </c>
      <c r="K55" s="13">
        <v>12820465</v>
      </c>
    </row>
    <row r="56" spans="1:11" hidden="1" x14ac:dyDescent="0.25">
      <c r="A56" s="1" t="s">
        <v>34</v>
      </c>
      <c r="B56" s="6" t="str">
        <f>+IFERROR(VLOOKUP(A56,pedidos!$A$1:$L$30,2,FALSE),"")</f>
        <v>PD BOG 26000066</v>
      </c>
      <c r="C56" s="2">
        <v>46137</v>
      </c>
      <c r="D56" s="3">
        <v>8002511655</v>
      </c>
      <c r="E56" s="1" t="s">
        <v>2</v>
      </c>
      <c r="F56" s="13">
        <v>0</v>
      </c>
      <c r="G56" s="13">
        <v>750000</v>
      </c>
      <c r="H56" s="13">
        <v>750000</v>
      </c>
      <c r="I56" s="13">
        <v>142500</v>
      </c>
      <c r="J56" s="13">
        <v>0</v>
      </c>
      <c r="K56" s="13">
        <v>892500</v>
      </c>
    </row>
    <row r="57" spans="1:11" hidden="1" x14ac:dyDescent="0.25">
      <c r="A57" s="1" t="s">
        <v>35</v>
      </c>
      <c r="B57" s="6" t="str">
        <f>+IFERROR(VLOOKUP(A57,pedidos!$A$1:$L$30,2,FALSE),"")</f>
        <v>PD BOG 26000069</v>
      </c>
      <c r="C57" s="2">
        <v>46139</v>
      </c>
      <c r="D57" s="3">
        <v>860034174</v>
      </c>
      <c r="E57" s="1" t="s">
        <v>36</v>
      </c>
      <c r="F57" s="13">
        <v>0</v>
      </c>
      <c r="G57" s="13">
        <v>682500</v>
      </c>
      <c r="H57" s="13">
        <v>682500</v>
      </c>
      <c r="I57" s="13">
        <v>129675</v>
      </c>
      <c r="J57" s="13">
        <v>0</v>
      </c>
      <c r="K57" s="13">
        <v>812175</v>
      </c>
    </row>
    <row r="58" spans="1:11" x14ac:dyDescent="0.25">
      <c r="A58" s="1" t="s">
        <v>31</v>
      </c>
      <c r="B58" s="6" t="str">
        <f>+IFERROR(VLOOKUP(A58,pedidos!$A$1:$L$30,2,FALSE),"")</f>
        <v/>
      </c>
      <c r="C58" s="2">
        <v>46135</v>
      </c>
      <c r="D58" s="3">
        <v>8002511655</v>
      </c>
      <c r="E58" s="1" t="s">
        <v>2</v>
      </c>
      <c r="F58" s="13">
        <v>0</v>
      </c>
      <c r="G58" s="13">
        <v>10633000</v>
      </c>
      <c r="H58" s="13">
        <v>10633000</v>
      </c>
      <c r="I58" s="13">
        <v>2020270</v>
      </c>
      <c r="J58" s="13">
        <v>0</v>
      </c>
      <c r="K58" s="13">
        <v>12653270</v>
      </c>
    </row>
    <row r="59" spans="1:11" hidden="1" x14ac:dyDescent="0.25">
      <c r="A59" s="1" t="s">
        <v>8</v>
      </c>
      <c r="B59" s="6" t="str">
        <f>+IFERROR(VLOOKUP(A59,pedidos!$A$1:$L$30,2,FALSE),"")</f>
        <v/>
      </c>
      <c r="C59" s="2">
        <v>46086</v>
      </c>
      <c r="D59" s="3">
        <v>901625040</v>
      </c>
      <c r="E59" s="1" t="s">
        <v>7</v>
      </c>
      <c r="F59" s="13">
        <v>0</v>
      </c>
      <c r="G59" s="13">
        <v>9097500</v>
      </c>
      <c r="H59" s="13">
        <v>9097500</v>
      </c>
      <c r="I59" s="13">
        <v>1728525</v>
      </c>
      <c r="J59" s="13">
        <v>0</v>
      </c>
      <c r="K59" s="13">
        <v>10826025</v>
      </c>
    </row>
    <row r="60" spans="1:11" hidden="1" x14ac:dyDescent="0.25">
      <c r="A60" s="1" t="s">
        <v>155</v>
      </c>
      <c r="B60" s="6" t="str">
        <f>+IFERROR(VLOOKUP(A60,pedidos!$A$1:$L$30,2,FALSE),"")</f>
        <v/>
      </c>
      <c r="C60" s="2">
        <v>46080</v>
      </c>
      <c r="D60" s="3">
        <v>900181825</v>
      </c>
      <c r="E60" s="1" t="s">
        <v>70</v>
      </c>
      <c r="F60" s="13">
        <v>0</v>
      </c>
      <c r="G60" s="13">
        <v>8838100</v>
      </c>
      <c r="H60" s="13">
        <v>8838100</v>
      </c>
      <c r="I60" s="13">
        <v>1679239</v>
      </c>
      <c r="J60" s="13">
        <v>0</v>
      </c>
      <c r="K60" s="13">
        <v>10517339</v>
      </c>
    </row>
    <row r="61" spans="1:11" x14ac:dyDescent="0.25">
      <c r="A61" s="1" t="s">
        <v>156</v>
      </c>
      <c r="B61" s="6" t="str">
        <f>+IFERROR(VLOOKUP(A61,pedidos!$A$1:$L$30,2,FALSE),"")</f>
        <v/>
      </c>
      <c r="C61" s="2">
        <v>46080</v>
      </c>
      <c r="D61" s="3">
        <v>8002511655</v>
      </c>
      <c r="E61" s="1" t="s">
        <v>2</v>
      </c>
      <c r="F61" s="13">
        <v>0</v>
      </c>
      <c r="G61" s="13">
        <v>8838100</v>
      </c>
      <c r="H61" s="13">
        <v>8838100</v>
      </c>
      <c r="I61" s="13">
        <v>1679239</v>
      </c>
      <c r="J61" s="13">
        <v>0</v>
      </c>
      <c r="K61" s="13">
        <v>10517339</v>
      </c>
    </row>
    <row r="62" spans="1:11" hidden="1" x14ac:dyDescent="0.25">
      <c r="A62" s="1" t="s">
        <v>151</v>
      </c>
      <c r="B62" s="6" t="str">
        <f>+IFERROR(VLOOKUP(A62,pedidos!$A$1:$L$30,2,FALSE),"")</f>
        <v/>
      </c>
      <c r="C62" s="2">
        <v>46077</v>
      </c>
      <c r="D62" s="3">
        <v>902020714</v>
      </c>
      <c r="E62" s="1" t="s">
        <v>152</v>
      </c>
      <c r="F62" s="13">
        <v>0</v>
      </c>
      <c r="G62" s="13">
        <v>8377600</v>
      </c>
      <c r="H62" s="13">
        <v>8377600</v>
      </c>
      <c r="I62" s="13">
        <v>1591744</v>
      </c>
      <c r="J62" s="13">
        <v>0</v>
      </c>
      <c r="K62" s="13">
        <v>9969344</v>
      </c>
    </row>
    <row r="63" spans="1:11" hidden="1" x14ac:dyDescent="0.25">
      <c r="A63" s="1" t="s">
        <v>46</v>
      </c>
      <c r="B63" s="6" t="str">
        <f>+IFERROR(VLOOKUP(A63,pedidos!$A$1:$L$30,2,FALSE),"")</f>
        <v>PD BOG 26000070</v>
      </c>
      <c r="C63" s="2">
        <v>46141</v>
      </c>
      <c r="D63" s="3">
        <v>901082929</v>
      </c>
      <c r="E63" s="1" t="s">
        <v>47</v>
      </c>
      <c r="F63" s="13">
        <v>0</v>
      </c>
      <c r="G63" s="13">
        <v>3386250</v>
      </c>
      <c r="H63" s="13">
        <v>3386250</v>
      </c>
      <c r="I63" s="13">
        <v>643387.5</v>
      </c>
      <c r="J63" s="13">
        <v>0</v>
      </c>
      <c r="K63" s="13">
        <v>4029637.5</v>
      </c>
    </row>
    <row r="64" spans="1:11" hidden="1" x14ac:dyDescent="0.25">
      <c r="A64" s="1" t="s">
        <v>85</v>
      </c>
      <c r="B64" s="6" t="str">
        <f>+IFERROR(VLOOKUP(A64,pedidos!$A$1:$L$30,2,FALSE),"")</f>
        <v/>
      </c>
      <c r="C64" s="2">
        <v>46164</v>
      </c>
      <c r="D64" s="3">
        <v>900181825</v>
      </c>
      <c r="E64" s="1" t="s">
        <v>70</v>
      </c>
      <c r="F64" s="13">
        <v>0</v>
      </c>
      <c r="G64" s="13">
        <v>8341600</v>
      </c>
      <c r="H64" s="13">
        <v>8341600</v>
      </c>
      <c r="I64" s="13">
        <v>1584904</v>
      </c>
      <c r="J64" s="13">
        <v>0</v>
      </c>
      <c r="K64" s="13">
        <v>9926504</v>
      </c>
    </row>
    <row r="65" spans="1:11" hidden="1" x14ac:dyDescent="0.25">
      <c r="A65" s="1" t="s">
        <v>140</v>
      </c>
      <c r="B65" s="6" t="str">
        <f>+IFERROR(VLOOKUP(A65,pedidos!$A$1:$L$30,2,FALSE),"")</f>
        <v/>
      </c>
      <c r="C65" s="2">
        <v>46066</v>
      </c>
      <c r="D65" s="3">
        <v>900053855</v>
      </c>
      <c r="E65" s="1" t="s">
        <v>141</v>
      </c>
      <c r="F65" s="13">
        <v>0</v>
      </c>
      <c r="G65" s="13">
        <v>8280500</v>
      </c>
      <c r="H65" s="13">
        <v>8280500</v>
      </c>
      <c r="I65" s="13">
        <v>1573295</v>
      </c>
      <c r="J65" s="13">
        <v>0</v>
      </c>
      <c r="K65" s="13">
        <v>9853795</v>
      </c>
    </row>
    <row r="66" spans="1:11" hidden="1" x14ac:dyDescent="0.25">
      <c r="A66" s="1" t="s">
        <v>17</v>
      </c>
      <c r="B66" s="6" t="str">
        <f>+IFERROR(VLOOKUP(A66,pedidos!$A$1:$L$30,2,FALSE),"")</f>
        <v/>
      </c>
      <c r="C66" s="2">
        <v>46100</v>
      </c>
      <c r="D66" s="3">
        <v>900540916</v>
      </c>
      <c r="E66" s="1" t="s">
        <v>18</v>
      </c>
      <c r="F66" s="13">
        <v>0</v>
      </c>
      <c r="G66" s="13">
        <v>7434800</v>
      </c>
      <c r="H66" s="13">
        <v>7434800</v>
      </c>
      <c r="I66" s="13">
        <v>1412612</v>
      </c>
      <c r="J66" s="13">
        <v>0</v>
      </c>
      <c r="K66" s="13">
        <v>8847412</v>
      </c>
    </row>
    <row r="67" spans="1:11" hidden="1" x14ac:dyDescent="0.25">
      <c r="A67" s="1" t="s">
        <v>72</v>
      </c>
      <c r="B67" s="6" t="str">
        <f>+IFERROR(VLOOKUP(A67,pedidos!$A$1:$L$30,2,FALSE),"")</f>
        <v/>
      </c>
      <c r="C67" s="2">
        <v>46163</v>
      </c>
      <c r="D67" s="3">
        <v>901792854</v>
      </c>
      <c r="E67" s="1" t="s">
        <v>73</v>
      </c>
      <c r="F67" s="13">
        <v>0</v>
      </c>
      <c r="G67" s="13">
        <v>6883900</v>
      </c>
      <c r="H67" s="13">
        <v>6883900</v>
      </c>
      <c r="I67" s="13">
        <v>1307941</v>
      </c>
      <c r="J67" s="13">
        <v>0</v>
      </c>
      <c r="K67" s="13">
        <v>8191841</v>
      </c>
    </row>
    <row r="68" spans="1:11" hidden="1" x14ac:dyDescent="0.25">
      <c r="A68" s="1" t="s">
        <v>53</v>
      </c>
      <c r="B68" s="6" t="str">
        <f>+IFERROR(VLOOKUP(A68,pedidos!$A$1:$L$30,2,FALSE),"")</f>
        <v>PD BOG 26000074</v>
      </c>
      <c r="C68" s="2">
        <v>46149</v>
      </c>
      <c r="D68" s="3">
        <v>79970667</v>
      </c>
      <c r="E68" s="1" t="s">
        <v>33</v>
      </c>
      <c r="F68" s="13">
        <v>0</v>
      </c>
      <c r="G68" s="13">
        <v>855000</v>
      </c>
      <c r="H68" s="13">
        <v>855000</v>
      </c>
      <c r="I68" s="13">
        <v>162450</v>
      </c>
      <c r="J68" s="13">
        <v>0</v>
      </c>
      <c r="K68" s="13">
        <v>1017450</v>
      </c>
    </row>
    <row r="69" spans="1:11" hidden="1" x14ac:dyDescent="0.25">
      <c r="A69" s="1" t="s">
        <v>86</v>
      </c>
      <c r="B69" s="6" t="str">
        <f>+IFERROR(VLOOKUP(A69,pedidos!$A$1:$L$30,2,FALSE),"")</f>
        <v/>
      </c>
      <c r="C69" s="2">
        <v>46164</v>
      </c>
      <c r="D69" s="3">
        <v>900181825</v>
      </c>
      <c r="E69" s="1" t="s">
        <v>70</v>
      </c>
      <c r="F69" s="13">
        <v>0</v>
      </c>
      <c r="G69" s="13">
        <v>6627650</v>
      </c>
      <c r="H69" s="13">
        <v>6627650</v>
      </c>
      <c r="I69" s="13">
        <v>1259253.5</v>
      </c>
      <c r="J69" s="13">
        <v>0</v>
      </c>
      <c r="K69" s="13">
        <v>7886903.5</v>
      </c>
    </row>
    <row r="70" spans="1:11" x14ac:dyDescent="0.25">
      <c r="A70" s="1" t="s">
        <v>111</v>
      </c>
      <c r="B70" s="6" t="str">
        <f>+IFERROR(VLOOKUP(A70,pedidos!$A$1:$L$30,2,FALSE),"")</f>
        <v/>
      </c>
      <c r="C70" s="2">
        <v>46036</v>
      </c>
      <c r="D70" s="3">
        <v>8002511655</v>
      </c>
      <c r="E70" s="1" t="s">
        <v>2</v>
      </c>
      <c r="F70" s="13">
        <v>0</v>
      </c>
      <c r="G70" s="13">
        <v>6080300</v>
      </c>
      <c r="H70" s="13">
        <v>6080300</v>
      </c>
      <c r="I70" s="13">
        <v>537757</v>
      </c>
      <c r="J70" s="13">
        <v>0</v>
      </c>
      <c r="K70" s="13">
        <v>6618057</v>
      </c>
    </row>
    <row r="71" spans="1:11" hidden="1" x14ac:dyDescent="0.25">
      <c r="A71" s="1" t="s">
        <v>76</v>
      </c>
      <c r="B71" s="6" t="str">
        <f>+IFERROR(VLOOKUP(A71,pedidos!$A$1:$L$30,2,FALSE),"")</f>
        <v/>
      </c>
      <c r="C71" s="2">
        <v>46163</v>
      </c>
      <c r="D71" s="5" t="s">
        <v>77</v>
      </c>
      <c r="E71" s="1" t="s">
        <v>78</v>
      </c>
      <c r="F71" s="13">
        <v>0</v>
      </c>
      <c r="G71" s="13">
        <v>5600000</v>
      </c>
      <c r="H71" s="13">
        <v>5600000</v>
      </c>
      <c r="I71" s="13">
        <v>1064000</v>
      </c>
      <c r="J71" s="13">
        <v>0</v>
      </c>
      <c r="K71" s="13">
        <v>6664000</v>
      </c>
    </row>
    <row r="72" spans="1:11" hidden="1" x14ac:dyDescent="0.25">
      <c r="A72" s="1" t="s">
        <v>64</v>
      </c>
      <c r="B72" s="6" t="str">
        <f>+IFERROR(VLOOKUP(A72,pedidos!$A$1:$L$30,2,FALSE),"")</f>
        <v/>
      </c>
      <c r="C72" s="2">
        <v>46157</v>
      </c>
      <c r="D72" s="3">
        <v>79278768</v>
      </c>
      <c r="E72" s="1" t="s">
        <v>63</v>
      </c>
      <c r="F72" s="13">
        <v>0</v>
      </c>
      <c r="G72" s="13">
        <v>5085000</v>
      </c>
      <c r="H72" s="13">
        <v>5085000</v>
      </c>
      <c r="I72" s="13">
        <v>966150</v>
      </c>
      <c r="J72" s="13">
        <v>0</v>
      </c>
      <c r="K72" s="13">
        <v>6051150</v>
      </c>
    </row>
    <row r="73" spans="1:11" hidden="1" x14ac:dyDescent="0.25">
      <c r="A73" s="1" t="s">
        <v>11</v>
      </c>
      <c r="B73" s="6" t="str">
        <f>+IFERROR(VLOOKUP(A73,pedidos!$A$1:$L$30,2,FALSE),"")</f>
        <v/>
      </c>
      <c r="C73" s="2">
        <v>46091</v>
      </c>
      <c r="D73" s="3">
        <v>1032357503</v>
      </c>
      <c r="E73" s="1" t="s">
        <v>12</v>
      </c>
      <c r="F73" s="13">
        <v>0</v>
      </c>
      <c r="G73" s="13">
        <v>4511500</v>
      </c>
      <c r="H73" s="13">
        <v>4511500</v>
      </c>
      <c r="I73" s="13">
        <v>857185</v>
      </c>
      <c r="J73" s="13">
        <v>0</v>
      </c>
      <c r="K73" s="13">
        <v>5368685</v>
      </c>
    </row>
    <row r="74" spans="1:11" hidden="1" x14ac:dyDescent="0.25">
      <c r="A74" s="1" t="s">
        <v>61</v>
      </c>
      <c r="B74" s="6" t="str">
        <f>+IFERROR(VLOOKUP(A74,pedidos!$A$1:$L$30,2,FALSE),"")</f>
        <v>PD BOG 26000078</v>
      </c>
      <c r="C74" s="2">
        <v>46156</v>
      </c>
      <c r="D74" s="3">
        <v>8002511655</v>
      </c>
      <c r="E74" s="1" t="s">
        <v>2</v>
      </c>
      <c r="F74" s="13">
        <v>0</v>
      </c>
      <c r="G74" s="13">
        <v>1350300</v>
      </c>
      <c r="H74" s="13">
        <v>1350300</v>
      </c>
      <c r="I74" s="13">
        <v>256557</v>
      </c>
      <c r="J74" s="13">
        <v>0</v>
      </c>
      <c r="K74" s="13">
        <v>1606857</v>
      </c>
    </row>
    <row r="75" spans="1:11" x14ac:dyDescent="0.25">
      <c r="A75" s="1" t="s">
        <v>118</v>
      </c>
      <c r="B75" s="6" t="str">
        <f>+IFERROR(VLOOKUP(A75,pedidos!$A$1:$L$30,2,FALSE),"")</f>
        <v/>
      </c>
      <c r="C75" s="2">
        <v>46036</v>
      </c>
      <c r="D75" s="3">
        <v>8002511655</v>
      </c>
      <c r="E75" s="1" t="s">
        <v>2</v>
      </c>
      <c r="F75" s="13">
        <v>0</v>
      </c>
      <c r="G75" s="13">
        <v>3250000</v>
      </c>
      <c r="H75" s="13">
        <v>3250000</v>
      </c>
      <c r="I75" s="13">
        <v>617500</v>
      </c>
      <c r="J75" s="13">
        <v>0</v>
      </c>
      <c r="K75" s="13">
        <v>3867500</v>
      </c>
    </row>
    <row r="76" spans="1:11" x14ac:dyDescent="0.25">
      <c r="A76" s="1" t="s">
        <v>114</v>
      </c>
      <c r="B76" s="6" t="str">
        <f>+IFERROR(VLOOKUP(A76,pedidos!$A$1:$L$30,2,FALSE),"")</f>
        <v/>
      </c>
      <c r="C76" s="2">
        <v>46036</v>
      </c>
      <c r="D76" s="3">
        <v>8002511655</v>
      </c>
      <c r="E76" s="1" t="s">
        <v>2</v>
      </c>
      <c r="F76" s="13">
        <v>0</v>
      </c>
      <c r="G76" s="13">
        <v>3215000</v>
      </c>
      <c r="H76" s="13">
        <v>3215000</v>
      </c>
      <c r="I76" s="13">
        <v>610850</v>
      </c>
      <c r="J76" s="13">
        <v>0</v>
      </c>
      <c r="K76" s="13">
        <v>3825850</v>
      </c>
    </row>
    <row r="77" spans="1:11" hidden="1" x14ac:dyDescent="0.25">
      <c r="A77" s="1" t="s">
        <v>65</v>
      </c>
      <c r="B77" s="6" t="str">
        <f>+IFERROR(VLOOKUP(A77,pedidos!$A$1:$L$30,2,FALSE),"")</f>
        <v>PD BOG 26000079</v>
      </c>
      <c r="C77" s="2">
        <v>46158</v>
      </c>
      <c r="D77" s="3">
        <v>900603598</v>
      </c>
      <c r="E77" s="1" t="s">
        <v>66</v>
      </c>
      <c r="F77" s="13">
        <v>0</v>
      </c>
      <c r="G77" s="13">
        <v>740000</v>
      </c>
      <c r="H77" s="13">
        <v>740000</v>
      </c>
      <c r="I77" s="13">
        <v>140600</v>
      </c>
      <c r="J77" s="13">
        <v>0</v>
      </c>
      <c r="K77" s="13">
        <v>880600</v>
      </c>
    </row>
    <row r="78" spans="1:11" hidden="1" x14ac:dyDescent="0.25">
      <c r="A78" s="1" t="s">
        <v>67</v>
      </c>
      <c r="B78" s="6" t="str">
        <f>+IFERROR(VLOOKUP(A78,pedidos!$A$1:$L$30,2,FALSE),"")</f>
        <v>PD BOG 26000080</v>
      </c>
      <c r="C78" s="2">
        <v>46161</v>
      </c>
      <c r="D78" s="3">
        <v>901924140</v>
      </c>
      <c r="E78" s="1" t="s">
        <v>22</v>
      </c>
      <c r="F78" s="13">
        <v>0</v>
      </c>
      <c r="G78" s="13">
        <v>795000</v>
      </c>
      <c r="H78" s="13">
        <v>795000</v>
      </c>
      <c r="I78" s="13">
        <v>151050</v>
      </c>
      <c r="J78" s="13">
        <v>0</v>
      </c>
      <c r="K78" s="13">
        <v>946050</v>
      </c>
    </row>
    <row r="79" spans="1:11" hidden="1" x14ac:dyDescent="0.25">
      <c r="A79" s="1" t="s">
        <v>42</v>
      </c>
      <c r="B79" s="6" t="str">
        <f>+IFERROR(VLOOKUP(A79,pedidos!$A$1:$L$30,2,FALSE),"")</f>
        <v/>
      </c>
      <c r="C79" s="2">
        <v>46141</v>
      </c>
      <c r="D79" s="3">
        <v>80181981</v>
      </c>
      <c r="E79" s="1" t="s">
        <v>43</v>
      </c>
      <c r="F79" s="13">
        <v>0</v>
      </c>
      <c r="G79" s="13">
        <v>3200000</v>
      </c>
      <c r="H79" s="13">
        <v>3200000</v>
      </c>
      <c r="I79" s="13">
        <v>608000</v>
      </c>
      <c r="J79" s="13">
        <v>0</v>
      </c>
      <c r="K79" s="13">
        <v>3808000</v>
      </c>
    </row>
    <row r="80" spans="1:11" x14ac:dyDescent="0.25">
      <c r="A80" s="1" t="s">
        <v>117</v>
      </c>
      <c r="B80" s="6" t="str">
        <f>+IFERROR(VLOOKUP(A80,pedidos!$A$1:$L$30,2,FALSE),"")</f>
        <v/>
      </c>
      <c r="C80" s="2">
        <v>46036</v>
      </c>
      <c r="D80" s="3">
        <v>8002511655</v>
      </c>
      <c r="E80" s="1" t="s">
        <v>2</v>
      </c>
      <c r="F80" s="13">
        <v>0</v>
      </c>
      <c r="G80" s="13">
        <v>2950000</v>
      </c>
      <c r="H80" s="13">
        <v>2950000</v>
      </c>
      <c r="I80" s="13">
        <v>560500</v>
      </c>
      <c r="J80" s="13">
        <v>0</v>
      </c>
      <c r="K80" s="13">
        <v>3510500</v>
      </c>
    </row>
    <row r="81" spans="1:11" hidden="1" x14ac:dyDescent="0.25">
      <c r="A81" s="1" t="s">
        <v>32</v>
      </c>
      <c r="B81" s="6" t="str">
        <f>+IFERROR(VLOOKUP(A81,pedidos!$A$1:$L$30,2,FALSE),"")</f>
        <v/>
      </c>
      <c r="C81" s="2">
        <v>46135</v>
      </c>
      <c r="D81" s="3">
        <v>79970667</v>
      </c>
      <c r="E81" s="1" t="s">
        <v>33</v>
      </c>
      <c r="F81" s="13">
        <v>0</v>
      </c>
      <c r="G81" s="13">
        <v>2117000</v>
      </c>
      <c r="H81" s="13">
        <v>2117000</v>
      </c>
      <c r="I81" s="13">
        <v>402230</v>
      </c>
      <c r="J81" s="13">
        <v>0</v>
      </c>
      <c r="K81" s="13">
        <v>2519230</v>
      </c>
    </row>
    <row r="82" spans="1:11" hidden="1" x14ac:dyDescent="0.25">
      <c r="A82" s="1" t="s">
        <v>84</v>
      </c>
      <c r="B82" s="6" t="str">
        <f>+IFERROR(VLOOKUP(A82,pedidos!$A$1:$L$30,2,FALSE),"")</f>
        <v>PD BOG 26000082</v>
      </c>
      <c r="C82" s="2">
        <v>46163</v>
      </c>
      <c r="D82" s="3">
        <v>8002511655</v>
      </c>
      <c r="E82" s="1" t="s">
        <v>2</v>
      </c>
      <c r="F82" s="13">
        <v>0</v>
      </c>
      <c r="G82" s="13">
        <v>251000</v>
      </c>
      <c r="H82" s="13">
        <v>251000</v>
      </c>
      <c r="I82" s="13">
        <v>47690</v>
      </c>
      <c r="J82" s="13">
        <v>0</v>
      </c>
      <c r="K82" s="13">
        <v>298690</v>
      </c>
    </row>
    <row r="83" spans="1:11" hidden="1" x14ac:dyDescent="0.25">
      <c r="A83" s="1" t="s">
        <v>54</v>
      </c>
      <c r="B83" s="6" t="str">
        <f>+IFERROR(VLOOKUP(A83,pedidos!$A$1:$L$30,2,FALSE),"")</f>
        <v/>
      </c>
      <c r="C83" s="2">
        <v>46149</v>
      </c>
      <c r="D83" s="3">
        <v>80912144</v>
      </c>
      <c r="E83" s="1" t="s">
        <v>55</v>
      </c>
      <c r="F83" s="13">
        <v>0</v>
      </c>
      <c r="G83" s="13">
        <v>1793670</v>
      </c>
      <c r="H83" s="13">
        <v>1793670</v>
      </c>
      <c r="I83" s="13">
        <v>340797.3</v>
      </c>
      <c r="J83" s="13">
        <v>0</v>
      </c>
      <c r="K83" s="13">
        <v>2134467.2999999998</v>
      </c>
    </row>
    <row r="84" spans="1:11" x14ac:dyDescent="0.25">
      <c r="A84" s="1" t="s">
        <v>3</v>
      </c>
      <c r="B84" s="6" t="str">
        <f>+IFERROR(VLOOKUP(A84,pedidos!$A$1:$L$30,2,FALSE),"")</f>
        <v/>
      </c>
      <c r="C84" s="2">
        <v>46085</v>
      </c>
      <c r="D84" s="3">
        <v>8002511655</v>
      </c>
      <c r="E84" s="1" t="s">
        <v>2</v>
      </c>
      <c r="F84" s="13">
        <v>0</v>
      </c>
      <c r="G84" s="13">
        <v>1578000</v>
      </c>
      <c r="H84" s="13">
        <v>1578000</v>
      </c>
      <c r="I84" s="13">
        <v>299820</v>
      </c>
      <c r="J84" s="13">
        <v>0</v>
      </c>
      <c r="K84" s="13">
        <v>1877820</v>
      </c>
    </row>
    <row r="85" spans="1:11" hidden="1" x14ac:dyDescent="0.25">
      <c r="A85" s="1" t="s">
        <v>112</v>
      </c>
      <c r="B85" s="6" t="str">
        <f>+IFERROR(VLOOKUP(A85,pedidos!$A$1:$L$30,2,FALSE),"")</f>
        <v/>
      </c>
      <c r="C85" s="2">
        <v>46036</v>
      </c>
      <c r="D85" s="3">
        <v>901581862</v>
      </c>
      <c r="E85" s="1" t="s">
        <v>113</v>
      </c>
      <c r="F85" s="13">
        <v>0</v>
      </c>
      <c r="G85" s="13">
        <v>1380000</v>
      </c>
      <c r="H85" s="13">
        <v>1380000</v>
      </c>
      <c r="I85" s="13">
        <v>0</v>
      </c>
      <c r="J85" s="13">
        <v>0</v>
      </c>
      <c r="K85" s="13">
        <v>1380000</v>
      </c>
    </row>
    <row r="86" spans="1:11" x14ac:dyDescent="0.25">
      <c r="A86" s="1" t="s">
        <v>60</v>
      </c>
      <c r="B86" s="6" t="str">
        <f>+IFERROR(VLOOKUP(A86,pedidos!$A$1:$L$30,2,FALSE),"")</f>
        <v/>
      </c>
      <c r="C86" s="2">
        <v>46155</v>
      </c>
      <c r="D86" s="3">
        <v>8002511655</v>
      </c>
      <c r="E86" s="1" t="s">
        <v>2</v>
      </c>
      <c r="F86" s="13">
        <v>0</v>
      </c>
      <c r="G86" s="13">
        <v>1330700</v>
      </c>
      <c r="H86" s="13">
        <v>1330700</v>
      </c>
      <c r="I86" s="13">
        <v>252833</v>
      </c>
      <c r="J86" s="13">
        <v>0</v>
      </c>
      <c r="K86" s="13">
        <v>1583533</v>
      </c>
    </row>
    <row r="87" spans="1:11" hidden="1" x14ac:dyDescent="0.25">
      <c r="A87" s="1" t="s">
        <v>135</v>
      </c>
      <c r="B87" s="6" t="str">
        <f>+IFERROR(VLOOKUP(A87,pedidos!$A$1:$L$30,2,FALSE),"")</f>
        <v/>
      </c>
      <c r="C87" s="2">
        <v>46056</v>
      </c>
      <c r="D87" s="3">
        <v>901924140</v>
      </c>
      <c r="E87" s="1" t="s">
        <v>22</v>
      </c>
      <c r="F87" s="13">
        <v>0</v>
      </c>
      <c r="G87" s="13">
        <v>1325000</v>
      </c>
      <c r="H87" s="13">
        <v>1325000</v>
      </c>
      <c r="I87" s="13">
        <v>251750</v>
      </c>
      <c r="J87" s="13">
        <v>0</v>
      </c>
      <c r="K87" s="13">
        <v>1576750</v>
      </c>
    </row>
    <row r="88" spans="1:11" x14ac:dyDescent="0.25">
      <c r="A88" s="1" t="s">
        <v>56</v>
      </c>
      <c r="B88" s="6" t="str">
        <f>+IFERROR(VLOOKUP(A88,pedidos!$A$1:$L$30,2,FALSE),"")</f>
        <v/>
      </c>
      <c r="C88" s="2">
        <v>46150</v>
      </c>
      <c r="D88" s="3">
        <v>8002511655</v>
      </c>
      <c r="E88" s="1" t="s">
        <v>2</v>
      </c>
      <c r="F88" s="13">
        <v>0</v>
      </c>
      <c r="G88" s="13">
        <v>893730</v>
      </c>
      <c r="H88" s="13">
        <v>893730</v>
      </c>
      <c r="I88" s="13">
        <v>169808.7</v>
      </c>
      <c r="J88" s="13">
        <v>0</v>
      </c>
      <c r="K88" s="13">
        <v>1063538.7</v>
      </c>
    </row>
    <row r="89" spans="1:11" hidden="1" x14ac:dyDescent="0.25">
      <c r="A89" s="1" t="s">
        <v>74</v>
      </c>
      <c r="B89" s="6" t="str">
        <f>+IFERROR(VLOOKUP(A89,pedidos!$A$1:$L$30,2,FALSE),"")</f>
        <v/>
      </c>
      <c r="C89" s="2">
        <v>46163</v>
      </c>
      <c r="D89" s="3">
        <v>901830389</v>
      </c>
      <c r="E89" s="1" t="s">
        <v>75</v>
      </c>
      <c r="F89" s="13">
        <v>0</v>
      </c>
      <c r="G89" s="13">
        <v>501000</v>
      </c>
      <c r="H89" s="13">
        <v>501000</v>
      </c>
      <c r="I89" s="13">
        <v>95190</v>
      </c>
      <c r="J89" s="13">
        <v>0</v>
      </c>
      <c r="K89" s="13">
        <v>596190</v>
      </c>
    </row>
    <row r="90" spans="1:11" hidden="1" x14ac:dyDescent="0.25">
      <c r="A90" s="1" t="s">
        <v>9</v>
      </c>
      <c r="B90" s="6" t="str">
        <f>+IFERROR(VLOOKUP(A90,pedidos!$A$1:$L$30,2,FALSE),"")</f>
        <v/>
      </c>
      <c r="C90" s="2">
        <v>46086</v>
      </c>
      <c r="D90" s="3">
        <v>14011652</v>
      </c>
      <c r="E90" s="1" t="s">
        <v>10</v>
      </c>
      <c r="F90" s="13">
        <v>0</v>
      </c>
      <c r="G90" s="13">
        <v>350000</v>
      </c>
      <c r="H90" s="13">
        <v>350000</v>
      </c>
      <c r="I90" s="13">
        <v>66500</v>
      </c>
      <c r="J90" s="13">
        <v>0</v>
      </c>
      <c r="K90" s="13">
        <v>416500</v>
      </c>
    </row>
    <row r="91" spans="1:11" hidden="1" x14ac:dyDescent="0.25">
      <c r="A91" s="1" t="s">
        <v>123</v>
      </c>
      <c r="B91" s="6" t="str">
        <f>+IFERROR(VLOOKUP(A91,pedidos!$A$1:$L$30,2,FALSE),"")</f>
        <v/>
      </c>
      <c r="C91" s="2">
        <v>46049</v>
      </c>
      <c r="D91" s="3">
        <v>901677773</v>
      </c>
      <c r="E91" s="1" t="s">
        <v>124</v>
      </c>
      <c r="F91" s="13">
        <v>0</v>
      </c>
      <c r="G91" s="13">
        <v>292400</v>
      </c>
      <c r="H91" s="13">
        <v>292400</v>
      </c>
      <c r="I91" s="13">
        <v>55556</v>
      </c>
      <c r="J91" s="13">
        <v>0</v>
      </c>
      <c r="K91" s="13">
        <v>347956</v>
      </c>
    </row>
    <row r="92" spans="1:11" hidden="1" x14ac:dyDescent="0.25">
      <c r="A92" s="1" t="s">
        <v>68</v>
      </c>
      <c r="B92" s="6" t="str">
        <f>+IFERROR(VLOOKUP(A92,pedidos!$A$1:$L$30,2,FALSE),"")</f>
        <v/>
      </c>
      <c r="C92" s="2">
        <v>46162</v>
      </c>
      <c r="D92" s="3">
        <v>860034174</v>
      </c>
      <c r="E92" s="1" t="s">
        <v>36</v>
      </c>
      <c r="F92" s="13">
        <v>0</v>
      </c>
      <c r="G92" s="13">
        <v>210000</v>
      </c>
      <c r="H92" s="13">
        <v>210000</v>
      </c>
      <c r="I92" s="13">
        <v>39900</v>
      </c>
      <c r="J92" s="13">
        <v>0</v>
      </c>
      <c r="K92" s="13">
        <v>249900</v>
      </c>
    </row>
  </sheetData>
  <autoFilter ref="A1:K92" xr:uid="{9BE378BC-38EC-4447-8E6D-D757A5C2FC63}">
    <filterColumn colId="1">
      <filters blank="1"/>
    </filterColumn>
    <filterColumn colId="4">
      <filters>
        <filter val="CIA FERRETERA DE ANJEOS Y MALLAS LTDA"/>
      </filters>
    </filterColumn>
    <sortState xmlns:xlrd2="http://schemas.microsoft.com/office/spreadsheetml/2017/richdata2" ref="A2:K92">
      <sortCondition descending="1" ref="G1:G9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7DF8-AD04-47D8-AFB4-6A4013E2CEAC}">
  <sheetPr codeName="Hoja2" filterMode="1"/>
  <dimension ref="A1:N31"/>
  <sheetViews>
    <sheetView tabSelected="1" topLeftCell="B1" workbookViewId="0">
      <selection activeCell="E30" activeCellId="6" sqref="E2 E13 E14 E22 E23 E27 E30"/>
    </sheetView>
  </sheetViews>
  <sheetFormatPr baseColWidth="10" defaultRowHeight="15" x14ac:dyDescent="0.25"/>
  <cols>
    <col min="1" max="1" width="15.140625" customWidth="1"/>
    <col min="2" max="2" width="16.28515625" bestFit="1" customWidth="1"/>
    <col min="3" max="3" width="10.7109375" bestFit="1" customWidth="1"/>
    <col min="4" max="4" width="11" bestFit="1" customWidth="1"/>
    <col min="5" max="5" width="55.140625" bestFit="1" customWidth="1"/>
    <col min="6" max="6" width="15.140625" bestFit="1" customWidth="1"/>
    <col min="7" max="7" width="7" bestFit="1" customWidth="1"/>
    <col min="8" max="8" width="15.140625" bestFit="1" customWidth="1"/>
    <col min="9" max="9" width="14.140625" customWidth="1"/>
    <col min="10" max="10" width="10.28515625" customWidth="1"/>
    <col min="11" max="11" width="15.140625" customWidth="1"/>
  </cols>
  <sheetData>
    <row r="1" spans="1:14" x14ac:dyDescent="0.25">
      <c r="A1" s="7" t="s">
        <v>182</v>
      </c>
      <c r="B1" s="7" t="s">
        <v>169</v>
      </c>
      <c r="C1" s="7" t="s">
        <v>170</v>
      </c>
      <c r="D1" s="7" t="s">
        <v>178</v>
      </c>
      <c r="E1" s="7" t="s">
        <v>171</v>
      </c>
      <c r="F1" s="7" t="s">
        <v>0</v>
      </c>
      <c r="G1" s="7" t="s">
        <v>172</v>
      </c>
      <c r="H1" s="7" t="s">
        <v>174</v>
      </c>
      <c r="I1" s="7" t="s">
        <v>175</v>
      </c>
      <c r="J1" s="7" t="s">
        <v>176</v>
      </c>
      <c r="K1" s="7" t="s">
        <v>177</v>
      </c>
      <c r="L1" s="8" t="s">
        <v>180</v>
      </c>
      <c r="M1" s="8"/>
      <c r="N1" s="8"/>
    </row>
    <row r="2" spans="1:14" x14ac:dyDescent="0.25">
      <c r="A2" s="9" t="s">
        <v>108</v>
      </c>
      <c r="B2" s="9" t="s">
        <v>157</v>
      </c>
      <c r="C2" s="10">
        <v>46035</v>
      </c>
      <c r="D2" s="9">
        <v>8002511655</v>
      </c>
      <c r="E2" s="9" t="s">
        <v>2</v>
      </c>
      <c r="F2" s="11">
        <v>3250000</v>
      </c>
      <c r="G2" s="11">
        <v>0</v>
      </c>
      <c r="H2" s="11">
        <v>3250000</v>
      </c>
      <c r="I2" s="11">
        <v>617500</v>
      </c>
      <c r="J2" s="11">
        <v>0</v>
      </c>
      <c r="K2" s="11">
        <v>3867500</v>
      </c>
      <c r="L2" s="6" t="s">
        <v>179</v>
      </c>
      <c r="M2" s="6"/>
      <c r="N2" s="6"/>
    </row>
    <row r="3" spans="1:14" hidden="1" x14ac:dyDescent="0.25">
      <c r="A3" s="9" t="s">
        <v>115</v>
      </c>
      <c r="B3" s="9" t="s">
        <v>158</v>
      </c>
      <c r="C3" s="10">
        <v>46041</v>
      </c>
      <c r="D3" s="9">
        <v>98400339</v>
      </c>
      <c r="E3" s="9" t="s">
        <v>116</v>
      </c>
      <c r="F3" s="11">
        <v>51102000</v>
      </c>
      <c r="G3" s="11">
        <v>0</v>
      </c>
      <c r="H3" s="11">
        <v>51102000</v>
      </c>
      <c r="I3" s="11">
        <v>9709380</v>
      </c>
      <c r="J3" s="11">
        <v>0</v>
      </c>
      <c r="K3" s="11">
        <v>60811380</v>
      </c>
      <c r="L3" s="6" t="s">
        <v>179</v>
      </c>
      <c r="M3" s="6"/>
      <c r="N3" s="6"/>
    </row>
    <row r="4" spans="1:14" hidden="1" x14ac:dyDescent="0.25">
      <c r="A4" s="9" t="s">
        <v>121</v>
      </c>
      <c r="B4" s="9" t="s">
        <v>159</v>
      </c>
      <c r="C4" s="10">
        <v>46046</v>
      </c>
      <c r="D4" s="9">
        <v>1061801203</v>
      </c>
      <c r="E4" s="9" t="s">
        <v>122</v>
      </c>
      <c r="F4" s="11">
        <v>2445600</v>
      </c>
      <c r="G4" s="11">
        <v>0</v>
      </c>
      <c r="H4" s="11">
        <v>2445600</v>
      </c>
      <c r="I4" s="11">
        <v>464664</v>
      </c>
      <c r="J4" s="11">
        <v>0</v>
      </c>
      <c r="K4" s="11">
        <v>2910264</v>
      </c>
      <c r="L4" s="6" t="s">
        <v>179</v>
      </c>
      <c r="M4" s="6"/>
      <c r="N4" s="6"/>
    </row>
    <row r="5" spans="1:14" hidden="1" x14ac:dyDescent="0.25">
      <c r="A5" s="9" t="s">
        <v>125</v>
      </c>
      <c r="B5" s="9" t="s">
        <v>160</v>
      </c>
      <c r="C5" s="10">
        <v>46050</v>
      </c>
      <c r="D5" s="9">
        <v>80734207</v>
      </c>
      <c r="E5" s="9" t="s">
        <v>126</v>
      </c>
      <c r="F5" s="11">
        <v>50000</v>
      </c>
      <c r="G5" s="11">
        <v>0</v>
      </c>
      <c r="H5" s="11">
        <v>50000</v>
      </c>
      <c r="I5" s="11">
        <v>9500</v>
      </c>
      <c r="J5" s="11">
        <v>0</v>
      </c>
      <c r="K5" s="11">
        <v>59500</v>
      </c>
      <c r="L5" s="6" t="s">
        <v>179</v>
      </c>
      <c r="M5" s="6"/>
      <c r="N5" s="6"/>
    </row>
    <row r="6" spans="1:14" hidden="1" x14ac:dyDescent="0.25">
      <c r="A6" s="9" t="s">
        <v>127</v>
      </c>
      <c r="B6" s="9" t="s">
        <v>161</v>
      </c>
      <c r="C6" s="10">
        <v>46050</v>
      </c>
      <c r="D6" s="9">
        <v>901227424</v>
      </c>
      <c r="E6" s="9" t="s">
        <v>128</v>
      </c>
      <c r="F6" s="11">
        <v>150000</v>
      </c>
      <c r="G6" s="11">
        <v>0</v>
      </c>
      <c r="H6" s="11">
        <v>150000</v>
      </c>
      <c r="I6" s="11">
        <v>28500</v>
      </c>
      <c r="J6" s="11">
        <v>0</v>
      </c>
      <c r="K6" s="11">
        <v>178500</v>
      </c>
      <c r="L6" s="6" t="s">
        <v>179</v>
      </c>
      <c r="M6" s="6"/>
      <c r="N6" s="6"/>
    </row>
    <row r="7" spans="1:14" hidden="1" x14ac:dyDescent="0.25">
      <c r="A7" s="9" t="s">
        <v>133</v>
      </c>
      <c r="B7" s="9" t="s">
        <v>162</v>
      </c>
      <c r="C7" s="10">
        <v>46057</v>
      </c>
      <c r="D7" s="9">
        <v>900024921</v>
      </c>
      <c r="E7" s="9" t="s">
        <v>134</v>
      </c>
      <c r="F7" s="11">
        <v>600000</v>
      </c>
      <c r="G7" s="11">
        <v>0</v>
      </c>
      <c r="H7" s="11">
        <v>600000</v>
      </c>
      <c r="I7" s="11">
        <v>114000</v>
      </c>
      <c r="J7" s="11">
        <v>0</v>
      </c>
      <c r="K7" s="11">
        <v>714000</v>
      </c>
      <c r="L7" s="6" t="s">
        <v>179</v>
      </c>
      <c r="M7" s="6"/>
      <c r="N7" s="6"/>
    </row>
    <row r="8" spans="1:14" x14ac:dyDescent="0.25">
      <c r="A8" s="9" t="s">
        <v>136</v>
      </c>
      <c r="B8" s="9" t="s">
        <v>163</v>
      </c>
      <c r="C8" s="10">
        <v>46059</v>
      </c>
      <c r="D8" s="9">
        <v>901229729</v>
      </c>
      <c r="E8" s="9" t="s">
        <v>137</v>
      </c>
      <c r="F8" s="11">
        <v>230000</v>
      </c>
      <c r="G8" s="11">
        <v>0</v>
      </c>
      <c r="H8" s="11">
        <v>230000</v>
      </c>
      <c r="I8" s="11">
        <v>43700</v>
      </c>
      <c r="J8" s="11">
        <v>0</v>
      </c>
      <c r="K8" s="11">
        <v>273700</v>
      </c>
      <c r="L8" s="6" t="s">
        <v>179</v>
      </c>
      <c r="M8" s="6"/>
      <c r="N8" s="6"/>
    </row>
    <row r="9" spans="1:14" hidden="1" x14ac:dyDescent="0.25">
      <c r="A9" s="9" t="s">
        <v>138</v>
      </c>
      <c r="B9" s="9" t="s">
        <v>164</v>
      </c>
      <c r="C9" s="10">
        <v>46060</v>
      </c>
      <c r="D9" s="9">
        <v>1061801203</v>
      </c>
      <c r="E9" s="9" t="s">
        <v>122</v>
      </c>
      <c r="F9" s="11">
        <v>305700</v>
      </c>
      <c r="G9" s="11">
        <v>0</v>
      </c>
      <c r="H9" s="11">
        <v>305700</v>
      </c>
      <c r="I9" s="11">
        <v>58083</v>
      </c>
      <c r="J9" s="11">
        <v>0</v>
      </c>
      <c r="K9" s="11">
        <v>363783</v>
      </c>
      <c r="L9" s="6" t="s">
        <v>179</v>
      </c>
      <c r="M9" s="6"/>
      <c r="N9" s="6"/>
    </row>
    <row r="10" spans="1:14" hidden="1" x14ac:dyDescent="0.25">
      <c r="A10" s="9" t="s">
        <v>139</v>
      </c>
      <c r="B10" s="9" t="s">
        <v>165</v>
      </c>
      <c r="C10" s="10">
        <v>46066</v>
      </c>
      <c r="D10" s="9">
        <v>900024921</v>
      </c>
      <c r="E10" s="9" t="s">
        <v>134</v>
      </c>
      <c r="F10" s="11">
        <v>148000</v>
      </c>
      <c r="G10" s="11">
        <v>0</v>
      </c>
      <c r="H10" s="11">
        <v>148000</v>
      </c>
      <c r="I10" s="11">
        <v>28120</v>
      </c>
      <c r="J10" s="11">
        <v>0</v>
      </c>
      <c r="K10" s="11">
        <v>176120</v>
      </c>
      <c r="L10" s="6" t="s">
        <v>179</v>
      </c>
      <c r="M10" s="6"/>
      <c r="N10" s="6"/>
    </row>
    <row r="11" spans="1:14" hidden="1" x14ac:dyDescent="0.25">
      <c r="A11" s="12" t="s">
        <v>144</v>
      </c>
      <c r="B11" s="9" t="s">
        <v>166</v>
      </c>
      <c r="C11" s="10">
        <v>46069</v>
      </c>
      <c r="D11" s="9">
        <v>1015472285</v>
      </c>
      <c r="E11" s="9" t="s">
        <v>16</v>
      </c>
      <c r="F11" s="11">
        <v>229250</v>
      </c>
      <c r="G11" s="11">
        <v>0</v>
      </c>
      <c r="H11" s="11">
        <v>229250</v>
      </c>
      <c r="I11" s="11">
        <v>43557.5</v>
      </c>
      <c r="J11" s="11">
        <v>0</v>
      </c>
      <c r="K11" s="11">
        <v>272807.5</v>
      </c>
      <c r="L11" s="6" t="s">
        <v>179</v>
      </c>
      <c r="M11" s="6"/>
      <c r="N11" s="6"/>
    </row>
    <row r="12" spans="1:14" hidden="1" x14ac:dyDescent="0.25">
      <c r="A12" s="12" t="s">
        <v>148</v>
      </c>
      <c r="B12" s="9" t="s">
        <v>167</v>
      </c>
      <c r="C12" s="10">
        <v>46073</v>
      </c>
      <c r="D12" s="9">
        <v>860034174</v>
      </c>
      <c r="E12" s="9" t="s">
        <v>36</v>
      </c>
      <c r="F12" s="11">
        <v>262500</v>
      </c>
      <c r="G12" s="11">
        <v>0</v>
      </c>
      <c r="H12" s="11">
        <v>262500</v>
      </c>
      <c r="I12" s="11">
        <v>49875</v>
      </c>
      <c r="J12" s="11">
        <v>0</v>
      </c>
      <c r="K12" s="11">
        <v>312375</v>
      </c>
      <c r="L12" s="6" t="s">
        <v>179</v>
      </c>
      <c r="M12" s="6"/>
      <c r="N12" s="6"/>
    </row>
    <row r="13" spans="1:14" x14ac:dyDescent="0.25">
      <c r="A13" s="12" t="s">
        <v>149</v>
      </c>
      <c r="B13" s="9" t="s">
        <v>168</v>
      </c>
      <c r="C13" s="10">
        <v>46077</v>
      </c>
      <c r="D13" s="9">
        <v>8002511655</v>
      </c>
      <c r="E13" s="9" t="s">
        <v>2</v>
      </c>
      <c r="F13" s="11">
        <v>8987500</v>
      </c>
      <c r="G13" s="11">
        <v>0</v>
      </c>
      <c r="H13" s="11">
        <v>8987500</v>
      </c>
      <c r="I13" s="11">
        <v>1707625</v>
      </c>
      <c r="J13" s="11">
        <v>0</v>
      </c>
      <c r="K13" s="11">
        <v>10695125</v>
      </c>
      <c r="L13" s="6" t="s">
        <v>179</v>
      </c>
      <c r="M13" s="6"/>
      <c r="N13" s="6"/>
    </row>
    <row r="14" spans="1:14" x14ac:dyDescent="0.25">
      <c r="A14" s="12" t="s">
        <v>1</v>
      </c>
      <c r="B14" s="9" t="s">
        <v>89</v>
      </c>
      <c r="C14" s="10">
        <v>46083</v>
      </c>
      <c r="D14" s="9">
        <v>8002511655</v>
      </c>
      <c r="E14" s="9" t="s">
        <v>2</v>
      </c>
      <c r="F14" s="11">
        <v>964500</v>
      </c>
      <c r="G14" s="11">
        <v>0</v>
      </c>
      <c r="H14" s="11">
        <v>964500</v>
      </c>
      <c r="I14" s="11">
        <v>183255</v>
      </c>
      <c r="J14" s="11">
        <v>0</v>
      </c>
      <c r="K14" s="11">
        <v>1147755</v>
      </c>
      <c r="L14" s="6" t="s">
        <v>179</v>
      </c>
      <c r="M14" s="6"/>
      <c r="N14" s="6"/>
    </row>
    <row r="15" spans="1:14" hidden="1" x14ac:dyDescent="0.25">
      <c r="A15" s="12" t="s">
        <v>4</v>
      </c>
      <c r="B15" s="9" t="s">
        <v>90</v>
      </c>
      <c r="C15" s="10">
        <v>46086</v>
      </c>
      <c r="D15" s="9">
        <v>1075224078</v>
      </c>
      <c r="E15" s="9" t="s">
        <v>5</v>
      </c>
      <c r="F15" s="11">
        <v>135000</v>
      </c>
      <c r="G15" s="11">
        <v>0</v>
      </c>
      <c r="H15" s="11">
        <v>135000</v>
      </c>
      <c r="I15" s="11">
        <v>25650</v>
      </c>
      <c r="J15" s="11">
        <v>0</v>
      </c>
      <c r="K15" s="11">
        <v>160650</v>
      </c>
      <c r="L15" s="6" t="s">
        <v>179</v>
      </c>
      <c r="M15" s="6"/>
      <c r="N15" s="6"/>
    </row>
    <row r="16" spans="1:14" hidden="1" x14ac:dyDescent="0.25">
      <c r="A16" s="12" t="s">
        <v>13</v>
      </c>
      <c r="B16" s="9" t="s">
        <v>91</v>
      </c>
      <c r="C16" s="10">
        <v>46098</v>
      </c>
      <c r="D16" s="9">
        <v>900260920</v>
      </c>
      <c r="E16" s="9" t="s">
        <v>14</v>
      </c>
      <c r="F16" s="11">
        <v>28665800</v>
      </c>
      <c r="G16" s="11">
        <v>0</v>
      </c>
      <c r="H16" s="11">
        <v>28665800</v>
      </c>
      <c r="I16" s="11">
        <v>5446502</v>
      </c>
      <c r="J16" s="11">
        <v>0</v>
      </c>
      <c r="K16" s="11">
        <v>34112302</v>
      </c>
      <c r="L16" s="6" t="s">
        <v>179</v>
      </c>
      <c r="M16" s="6"/>
      <c r="N16" s="6"/>
    </row>
    <row r="17" spans="1:14" hidden="1" x14ac:dyDescent="0.25">
      <c r="A17" s="12" t="s">
        <v>15</v>
      </c>
      <c r="B17" s="9" t="s">
        <v>92</v>
      </c>
      <c r="C17" s="10">
        <v>46101</v>
      </c>
      <c r="D17" s="9">
        <v>1015472285</v>
      </c>
      <c r="E17" s="9" t="s">
        <v>16</v>
      </c>
      <c r="F17" s="11">
        <v>393000</v>
      </c>
      <c r="G17" s="11">
        <v>0</v>
      </c>
      <c r="H17" s="11">
        <v>393000</v>
      </c>
      <c r="I17" s="11">
        <v>74670</v>
      </c>
      <c r="J17" s="11">
        <v>0</v>
      </c>
      <c r="K17" s="11">
        <v>467670</v>
      </c>
      <c r="L17" s="6" t="s">
        <v>179</v>
      </c>
      <c r="M17" s="6"/>
      <c r="N17" s="6"/>
    </row>
    <row r="18" spans="1:14" hidden="1" x14ac:dyDescent="0.25">
      <c r="A18" s="12" t="s">
        <v>21</v>
      </c>
      <c r="B18" s="9" t="s">
        <v>93</v>
      </c>
      <c r="C18" s="10">
        <v>46106</v>
      </c>
      <c r="D18" s="9">
        <v>901924140</v>
      </c>
      <c r="E18" s="9" t="s">
        <v>22</v>
      </c>
      <c r="F18" s="11">
        <v>1231000</v>
      </c>
      <c r="G18" s="11">
        <v>0</v>
      </c>
      <c r="H18" s="11">
        <v>1231000</v>
      </c>
      <c r="I18" s="11">
        <v>233890</v>
      </c>
      <c r="J18" s="11">
        <v>0</v>
      </c>
      <c r="K18" s="11">
        <v>1464890</v>
      </c>
      <c r="L18" s="6" t="s">
        <v>179</v>
      </c>
      <c r="M18" s="6"/>
      <c r="N18" s="6"/>
    </row>
    <row r="19" spans="1:14" hidden="1" x14ac:dyDescent="0.25">
      <c r="A19" s="12" t="s">
        <v>23</v>
      </c>
      <c r="B19" s="9" t="s">
        <v>100</v>
      </c>
      <c r="C19" s="10">
        <v>46146</v>
      </c>
      <c r="D19" s="9">
        <v>901924140</v>
      </c>
      <c r="E19" s="9" t="s">
        <v>22</v>
      </c>
      <c r="F19" s="11">
        <v>577899.19999999995</v>
      </c>
      <c r="G19" s="11">
        <v>0</v>
      </c>
      <c r="H19" s="11">
        <v>577899.19999999995</v>
      </c>
      <c r="I19" s="11">
        <v>109800.85</v>
      </c>
      <c r="J19" s="11">
        <v>0</v>
      </c>
      <c r="K19" s="11">
        <v>687700.05</v>
      </c>
      <c r="L19" s="6" t="s">
        <v>179</v>
      </c>
      <c r="M19" s="6"/>
      <c r="N19" s="6"/>
    </row>
    <row r="20" spans="1:14" hidden="1" x14ac:dyDescent="0.25">
      <c r="A20" s="12" t="s">
        <v>24</v>
      </c>
      <c r="B20" s="9" t="s">
        <v>94</v>
      </c>
      <c r="C20" s="10">
        <v>46122</v>
      </c>
      <c r="D20" s="9">
        <v>900500099</v>
      </c>
      <c r="E20" s="9" t="s">
        <v>25</v>
      </c>
      <c r="F20" s="11">
        <v>4758600</v>
      </c>
      <c r="G20" s="11">
        <v>0</v>
      </c>
      <c r="H20" s="11">
        <v>4758600</v>
      </c>
      <c r="I20" s="11">
        <v>904134</v>
      </c>
      <c r="J20" s="11">
        <v>0</v>
      </c>
      <c r="K20" s="11">
        <v>5662734</v>
      </c>
      <c r="L20" s="6" t="s">
        <v>179</v>
      </c>
      <c r="M20" s="6"/>
      <c r="N20" s="6"/>
    </row>
    <row r="21" spans="1:14" hidden="1" x14ac:dyDescent="0.25">
      <c r="A21" s="12" t="s">
        <v>26</v>
      </c>
      <c r="B21" s="9" t="s">
        <v>95</v>
      </c>
      <c r="C21" s="10">
        <v>46126</v>
      </c>
      <c r="D21" s="9">
        <v>79425359</v>
      </c>
      <c r="E21" s="9" t="s">
        <v>27</v>
      </c>
      <c r="F21" s="11">
        <v>6300000</v>
      </c>
      <c r="G21" s="11">
        <v>0</v>
      </c>
      <c r="H21" s="11">
        <v>6300000</v>
      </c>
      <c r="I21" s="11">
        <v>1197000</v>
      </c>
      <c r="J21" s="11">
        <v>0</v>
      </c>
      <c r="K21" s="11">
        <v>7497000</v>
      </c>
      <c r="L21" s="6" t="s">
        <v>179</v>
      </c>
      <c r="M21" s="6"/>
      <c r="N21" s="6"/>
    </row>
    <row r="22" spans="1:14" x14ac:dyDescent="0.25">
      <c r="A22" s="12" t="s">
        <v>30</v>
      </c>
      <c r="B22" s="9" t="s">
        <v>96</v>
      </c>
      <c r="C22" s="10">
        <v>46135</v>
      </c>
      <c r="D22" s="9">
        <v>8002511655</v>
      </c>
      <c r="E22" s="9" t="s">
        <v>2</v>
      </c>
      <c r="F22" s="11">
        <v>964500</v>
      </c>
      <c r="G22" s="11">
        <v>0</v>
      </c>
      <c r="H22" s="11">
        <v>964500</v>
      </c>
      <c r="I22" s="11">
        <v>183255</v>
      </c>
      <c r="J22" s="11">
        <v>0</v>
      </c>
      <c r="K22" s="11">
        <v>1147755</v>
      </c>
      <c r="L22" s="6" t="s">
        <v>179</v>
      </c>
      <c r="M22" s="6"/>
      <c r="N22" s="6"/>
    </row>
    <row r="23" spans="1:14" x14ac:dyDescent="0.25">
      <c r="A23" s="12" t="s">
        <v>34</v>
      </c>
      <c r="B23" s="9" t="s">
        <v>97</v>
      </c>
      <c r="C23" s="10">
        <v>46140</v>
      </c>
      <c r="D23" s="9">
        <v>8002511655</v>
      </c>
      <c r="E23" s="9" t="s">
        <v>2</v>
      </c>
      <c r="F23" s="11">
        <v>750000</v>
      </c>
      <c r="G23" s="11">
        <v>0</v>
      </c>
      <c r="H23" s="11">
        <v>750000</v>
      </c>
      <c r="I23" s="11">
        <v>142500</v>
      </c>
      <c r="J23" s="11">
        <v>0</v>
      </c>
      <c r="K23" s="11">
        <v>892500</v>
      </c>
      <c r="L23" s="6" t="s">
        <v>179</v>
      </c>
      <c r="M23" s="6"/>
      <c r="N23" s="6"/>
    </row>
    <row r="24" spans="1:14" hidden="1" x14ac:dyDescent="0.25">
      <c r="A24" s="12" t="s">
        <v>35</v>
      </c>
      <c r="B24" s="9" t="s">
        <v>98</v>
      </c>
      <c r="C24" s="10">
        <v>46142</v>
      </c>
      <c r="D24" s="9">
        <v>860034174</v>
      </c>
      <c r="E24" s="9" t="s">
        <v>36</v>
      </c>
      <c r="F24" s="11">
        <v>682500</v>
      </c>
      <c r="G24" s="11">
        <v>0</v>
      </c>
      <c r="H24" s="11">
        <v>682500</v>
      </c>
      <c r="I24" s="11">
        <v>129675</v>
      </c>
      <c r="J24" s="11">
        <v>0</v>
      </c>
      <c r="K24" s="11">
        <v>812175</v>
      </c>
      <c r="L24" s="6" t="s">
        <v>179</v>
      </c>
      <c r="M24" s="6"/>
      <c r="N24" s="6"/>
    </row>
    <row r="25" spans="1:14" hidden="1" x14ac:dyDescent="0.25">
      <c r="A25" s="9" t="s">
        <v>46</v>
      </c>
      <c r="B25" s="9" t="s">
        <v>99</v>
      </c>
      <c r="C25" s="10">
        <v>46146</v>
      </c>
      <c r="D25" s="9">
        <v>901082929</v>
      </c>
      <c r="E25" s="9" t="s">
        <v>47</v>
      </c>
      <c r="F25" s="11">
        <v>3386250</v>
      </c>
      <c r="G25" s="11">
        <v>0</v>
      </c>
      <c r="H25" s="11">
        <v>3386250</v>
      </c>
      <c r="I25" s="11">
        <v>643387.5</v>
      </c>
      <c r="J25" s="11">
        <v>0</v>
      </c>
      <c r="K25" s="11">
        <v>4029637.5</v>
      </c>
      <c r="L25" s="6" t="s">
        <v>179</v>
      </c>
      <c r="M25" s="6"/>
      <c r="N25" s="6"/>
    </row>
    <row r="26" spans="1:14" hidden="1" x14ac:dyDescent="0.25">
      <c r="A26" s="12" t="s">
        <v>53</v>
      </c>
      <c r="B26" s="9" t="s">
        <v>101</v>
      </c>
      <c r="C26" s="10">
        <v>46150</v>
      </c>
      <c r="D26" s="9">
        <v>79970667</v>
      </c>
      <c r="E26" s="9" t="s">
        <v>33</v>
      </c>
      <c r="F26" s="11">
        <v>855000</v>
      </c>
      <c r="G26" s="11">
        <v>0</v>
      </c>
      <c r="H26" s="11">
        <v>855000</v>
      </c>
      <c r="I26" s="11">
        <v>162450</v>
      </c>
      <c r="J26" s="11">
        <v>0</v>
      </c>
      <c r="K26" s="11">
        <v>1017450</v>
      </c>
      <c r="L26" s="6" t="s">
        <v>179</v>
      </c>
      <c r="M26" s="6"/>
      <c r="N26" s="6"/>
    </row>
    <row r="27" spans="1:14" x14ac:dyDescent="0.25">
      <c r="A27" s="12" t="s">
        <v>61</v>
      </c>
      <c r="B27" s="9" t="s">
        <v>102</v>
      </c>
      <c r="C27" s="10">
        <v>46157</v>
      </c>
      <c r="D27" s="9">
        <v>8002511655</v>
      </c>
      <c r="E27" s="9" t="s">
        <v>2</v>
      </c>
      <c r="F27" s="11">
        <v>1350300</v>
      </c>
      <c r="G27" s="11">
        <v>0</v>
      </c>
      <c r="H27" s="11">
        <v>1350300</v>
      </c>
      <c r="I27" s="11">
        <v>256557</v>
      </c>
      <c r="J27" s="11">
        <v>0</v>
      </c>
      <c r="K27" s="11">
        <v>1606857</v>
      </c>
      <c r="L27" s="6" t="s">
        <v>179</v>
      </c>
      <c r="M27" s="6"/>
      <c r="N27" s="6"/>
    </row>
    <row r="28" spans="1:14" hidden="1" x14ac:dyDescent="0.25">
      <c r="A28" s="12" t="s">
        <v>65</v>
      </c>
      <c r="B28" s="9" t="s">
        <v>103</v>
      </c>
      <c r="C28" s="10">
        <v>46158</v>
      </c>
      <c r="D28" s="9">
        <v>900603598</v>
      </c>
      <c r="E28" s="9" t="s">
        <v>66</v>
      </c>
      <c r="F28" s="11">
        <v>740000</v>
      </c>
      <c r="G28" s="11">
        <v>0</v>
      </c>
      <c r="H28" s="11">
        <v>740000</v>
      </c>
      <c r="I28" s="11">
        <v>140600</v>
      </c>
      <c r="J28" s="11">
        <v>0</v>
      </c>
      <c r="K28" s="11">
        <v>880600</v>
      </c>
      <c r="L28" s="6" t="s">
        <v>179</v>
      </c>
      <c r="M28" s="6"/>
      <c r="N28" s="6"/>
    </row>
    <row r="29" spans="1:14" hidden="1" x14ac:dyDescent="0.25">
      <c r="A29" s="12" t="s">
        <v>67</v>
      </c>
      <c r="B29" s="9" t="s">
        <v>104</v>
      </c>
      <c r="C29" s="10">
        <v>46161</v>
      </c>
      <c r="D29" s="9">
        <v>901924140</v>
      </c>
      <c r="E29" s="9" t="s">
        <v>22</v>
      </c>
      <c r="F29" s="11">
        <v>795000</v>
      </c>
      <c r="G29" s="11">
        <v>0</v>
      </c>
      <c r="H29" s="11">
        <v>795000</v>
      </c>
      <c r="I29" s="11">
        <v>151050</v>
      </c>
      <c r="J29" s="11">
        <v>0</v>
      </c>
      <c r="K29" s="11">
        <v>946050</v>
      </c>
      <c r="L29" s="6" t="s">
        <v>179</v>
      </c>
      <c r="M29" s="6"/>
      <c r="N29" s="6"/>
    </row>
    <row r="30" spans="1:14" x14ac:dyDescent="0.25">
      <c r="A30" s="12" t="s">
        <v>84</v>
      </c>
      <c r="B30" s="9" t="s">
        <v>105</v>
      </c>
      <c r="C30" s="10">
        <v>46164</v>
      </c>
      <c r="D30" s="9">
        <v>8002511655</v>
      </c>
      <c r="E30" s="9" t="s">
        <v>2</v>
      </c>
      <c r="F30" s="11">
        <v>251000</v>
      </c>
      <c r="G30" s="11">
        <v>0</v>
      </c>
      <c r="H30" s="11">
        <v>251000</v>
      </c>
      <c r="I30" s="11">
        <v>47690</v>
      </c>
      <c r="J30" s="11">
        <v>0</v>
      </c>
      <c r="K30" s="11">
        <v>298690</v>
      </c>
      <c r="L30" s="6" t="s">
        <v>179</v>
      </c>
      <c r="M30" s="6"/>
      <c r="N30" s="6"/>
    </row>
    <row r="31" spans="1:14" x14ac:dyDescent="0.25">
      <c r="A31" s="8"/>
      <c r="B31" s="8"/>
      <c r="C31" s="8"/>
      <c r="D31" s="8"/>
      <c r="E31" s="8"/>
      <c r="F31" s="6"/>
      <c r="G31" s="6"/>
      <c r="H31" s="6"/>
      <c r="I31" s="6"/>
      <c r="J31" s="6"/>
      <c r="K31" s="6"/>
      <c r="L31" s="6"/>
      <c r="M31" s="6"/>
      <c r="N31" s="6"/>
    </row>
  </sheetData>
  <autoFilter ref="A1:L30" xr:uid="{94D67DF8-AD04-47D8-AFB4-6A4013E2CEAC}">
    <filterColumn colId="4">
      <filters>
        <filter val="CIA FERRETERA DE ANJEOS Y MALLAS LTDA"/>
        <filter val="SERVINDUSTRIAL LOZANO &amp; CIA SAS"/>
      </filters>
    </filterColumn>
    <sortState xmlns:xlrd2="http://schemas.microsoft.com/office/spreadsheetml/2017/richdata2" ref="A2:L30">
      <sortCondition ref="A1:A3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cotizaciones</vt:lpstr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2026-05-25T14:48:04Z</dcterms:created>
  <dcterms:modified xsi:type="dcterms:W3CDTF">2026-05-27T13:01:12Z</dcterms:modified>
</cp:coreProperties>
</file>